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Assumptions" sheetId="3" state="visible" r:id="rId5"/>
    <sheet name="Revenue" sheetId="4" state="visible" r:id="rId6"/>
    <sheet name="P&amp;L" sheetId="5" state="visible" r:id="rId7"/>
  </sheets>
  <definedNames>
    <definedName function="false" hidden="false" name="Scenario" vbProcedure="false">Assumptions!$C$3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<sst xmlns="http://schemas.openxmlformats.org/spreadsheetml/2006/main" count="207" uniqueCount="131">
  <si>
    <t xml:space="preserve">Lumen Analytics · SaaS Financial Model</t>
  </si>
  <si>
    <t xml:space="preserve">Model overview</t>
  </si>
  <si>
    <t xml:space="preserve">Purpose: Three-year driver-based model for Lumen Analytics, a fictional</t>
  </si>
  <si>
    <t xml:space="preserve">B2B SaaS analytics platform. Illustrates how input drivers (customer</t>
  </si>
  <si>
    <t xml:space="preserve">acquisition, retention, ACV, opex ratios) translate into ARR, revenue,</t>
  </si>
  <si>
    <t xml:space="preserve">and operating margin across Base / Upside / Downside scenarios.</t>
  </si>
  <si>
    <t xml:space="preserve">How to use:</t>
  </si>
  <si>
    <t xml:space="preserve">  1. Open the Assumptions tab.</t>
  </si>
  <si>
    <t xml:space="preserve">  2. Change the scenario toggle (cell C3) — pick Base, Upside, or Downside from the dropdown.</t>
  </si>
  <si>
    <t xml:space="preserve">  3. All downstream metrics on Revenue, P&amp;L, and Summary recalculate.</t>
  </si>
  <si>
    <t xml:space="preserve">Sheets:</t>
  </si>
  <si>
    <t xml:space="preserve">  • Summary    — headline KPIs and SaaS health metrics</t>
  </si>
  <si>
    <t xml:space="preserve">  • Assumptions — scenario table + quarterly driver vectors</t>
  </si>
  <si>
    <t xml:space="preserve">  • Revenue    — customer count build and ARR waterfall</t>
  </si>
  <si>
    <t xml:space="preserve">  • P&amp;L        — quarterly income statement + annual roll-up</t>
  </si>
  <si>
    <t xml:space="preserve">Formula color key (industry convention):</t>
  </si>
  <si>
    <t xml:space="preserve">  Blue   = hardcoded inputs</t>
  </si>
  <si>
    <t xml:space="preserve">  Black  = formulas</t>
  </si>
  <si>
    <t xml:space="preserve">  Green  = cross-sheet links</t>
  </si>
  <si>
    <t xml:space="preserve">Built by Jialei Wu. Data is entirely synthetic.</t>
  </si>
  <si>
    <t xml:space="preserve">Lumen Analytics · Executive Summary</t>
  </si>
  <si>
    <t xml:space="preserve">Scenario</t>
  </si>
  <si>
    <t xml:space="preserve">(toggle on Assumptions!C3)</t>
  </si>
  <si>
    <t xml:space="preserve">Headline KPIs</t>
  </si>
  <si>
    <t xml:space="preserve">Metric</t>
  </si>
  <si>
    <t xml:space="preserve">FY 2024</t>
  </si>
  <si>
    <t xml:space="preserve">FY 2025</t>
  </si>
  <si>
    <t xml:space="preserve">FY 2026</t>
  </si>
  <si>
    <t xml:space="preserve">Δ FY25→FY26</t>
  </si>
  <si>
    <t xml:space="preserve">Ending ARR ($M)</t>
  </si>
  <si>
    <t xml:space="preserve">Recognized revenue ($M)</t>
  </si>
  <si>
    <t xml:space="preserve">Gross margin</t>
  </si>
  <si>
    <t xml:space="preserve">Operating margin</t>
  </si>
  <si>
    <t xml:space="preserve">Ending customers</t>
  </si>
  <si>
    <t xml:space="preserve">New customers added</t>
  </si>
  <si>
    <t xml:space="preserve">SaaS Health Metrics</t>
  </si>
  <si>
    <t xml:space="preserve">Value</t>
  </si>
  <si>
    <t xml:space="preserve">Commentary</t>
  </si>
  <si>
    <t xml:space="preserve">Net dollar retention (annual)</t>
  </si>
  <si>
    <t xml:space="preserve">Target ≥ 110% for healthy B2B SaaS</t>
  </si>
  <si>
    <t xml:space="preserve">Gross logo retention (annual)</t>
  </si>
  <si>
    <t xml:space="preserve">Target ≥ 90% for mid-market</t>
  </si>
  <si>
    <t xml:space="preserve">Fully-loaded CAC</t>
  </si>
  <si>
    <t xml:space="preserve">S&amp;M + onboarding per new logo</t>
  </si>
  <si>
    <t xml:space="preserve">Gross CAC payback (months)</t>
  </si>
  <si>
    <t xml:space="preserve">CAC ÷ monthly gross profit per customer</t>
  </si>
  <si>
    <t xml:space="preserve">LTV (gross profit basis)</t>
  </si>
  <si>
    <t xml:space="preserve">ACV × GM ÷ churn rate</t>
  </si>
  <si>
    <t xml:space="preserve">LTV : CAC</t>
  </si>
  <si>
    <t xml:space="preserve">Target ≥ 3.0x</t>
  </si>
  <si>
    <t xml:space="preserve">Rule of 40 (FY26)</t>
  </si>
  <si>
    <t xml:space="preserve">ARR growth + operating margin; target ≥ 40%</t>
  </si>
  <si>
    <t xml:space="preserve">Illustrative model. Synthetic data for portfolio demonstration.</t>
  </si>
  <si>
    <t xml:space="preserve">Toggle scenario via the Base / Upside / Downside dropdown on Assumptions!C3 — all downstream metrics update.</t>
  </si>
  <si>
    <t xml:space="preserve">Lumen Analytics · Driver Assumptions</t>
  </si>
  <si>
    <t xml:space="preserve">Base</t>
  </si>
  <si>
    <t xml:space="preserve">Scenario table</t>
  </si>
  <si>
    <t xml:space="preserve">Upside</t>
  </si>
  <si>
    <t xml:space="preserve">Downside</t>
  </si>
  <si>
    <t xml:space="preserve">Starting customers</t>
  </si>
  <si>
    <t xml:space="preserve">New customers · Y1 quarterly growth</t>
  </si>
  <si>
    <t xml:space="preserve">New customers · Y2 quarterly growth</t>
  </si>
  <si>
    <t xml:space="preserve">New customers · Y3 quarterly growth</t>
  </si>
  <si>
    <t xml:space="preserve">Starting new customers / qtr</t>
  </si>
  <si>
    <t xml:space="preserve">S&amp;M as % of revenue · Y1</t>
  </si>
  <si>
    <t xml:space="preserve">S&amp;M as % of revenue · Y3</t>
  </si>
  <si>
    <t xml:space="preserve">R&amp;D as % of revenue · Y1</t>
  </si>
  <si>
    <t xml:space="preserve">R&amp;D as % of revenue · Y3</t>
  </si>
  <si>
    <t xml:space="preserve">G&amp;A as % of revenue · Y1</t>
  </si>
  <si>
    <t xml:space="preserve">G&amp;A as % of revenue · Y3</t>
  </si>
  <si>
    <t xml:space="preserve">Blended ACV ($)</t>
  </si>
  <si>
    <t xml:space="preserve">ACV annual uplift</t>
  </si>
  <si>
    <t xml:space="preserve">Fully-loaded CAC ($)</t>
  </si>
  <si>
    <t xml:space="preserve">Active (driven by scenario)</t>
  </si>
  <si>
    <t xml:space="preserve">Quarterly driver vectors</t>
  </si>
  <si>
    <t xml:space="preserve">Units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</si>
  <si>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</si>
  <si>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</si>
  <si>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</si>
  <si>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</si>
  <si>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</si>
  <si>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</si>
  <si>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</si>
  <si>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</si>
  <si>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</si>
  <si>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Q2 2026</t>
  </si>
  <si>
    <t xml:space="preserve">Q3 2026</t>
  </si>
  <si>
    <t xml:space="preserve">Q4 2026</t>
  </si>
  <si>
    <t xml:space="preserve">Total / Avg</t>
  </si>
  <si>
    <t xml:space="preserve">New customers / quarter</t>
  </si>
  <si>
    <t xml:space="preserve">count</t>
  </si>
  <si>
    <t xml:space="preserve">Blended ACV</t>
  </si>
  <si>
    <t xml:space="preserve">$/yr</t>
  </si>
  <si>
    <t xml:space="preserve">Quarterly gross churn rate</t>
  </si>
  <si>
    <t xml:space="preserve">%</t>
  </si>
  <si>
    <t xml:space="preserve">Quarterly net expansion rate</t>
  </si>
  <si>
    <t xml:space="preserve">S&amp;M · % of revenue</t>
  </si>
  <si>
    <t xml:space="preserve">R&amp;D · % of revenue</t>
  </si>
  <si>
    <t xml:space="preserve">G&amp;A · % of revenue</t>
  </si>
  <si>
    <t xml:space="preserve">Notes: All dollar figures in actual dollars unless noted. Blue text = inputs; black = formulas; green = cross-sheet links.</t>
  </si>
  <si>
    <t xml:space="preserve">Lumen Analytics · Revenue Build</t>
  </si>
  <si>
    <t xml:space="preserve">All figures in actual $ unless marked otherwise.</t>
  </si>
  <si>
    <t xml:space="preserve">Customer Count</t>
  </si>
  <si>
    <t xml:space="preserve">Beginning customers</t>
  </si>
  <si>
    <t xml:space="preserve">+ New customers</t>
  </si>
  <si>
    <t xml:space="preserve">– Churned customers</t>
  </si>
  <si>
    <t xml:space="preserve">ARR Waterfall ($K)</t>
  </si>
  <si>
    <t xml:space="preserve">Beginning ARR</t>
  </si>
  <si>
    <t xml:space="preserve">+ New ARR</t>
  </si>
  <si>
    <t xml:space="preserve">+ Expansion / upsell ARR</t>
  </si>
  <si>
    <t xml:space="preserve">– Churned ARR</t>
  </si>
  <si>
    <t xml:space="preserve">Ending ARR</t>
  </si>
  <si>
    <t xml:space="preserve">Ending MRR</t>
  </si>
  <si>
    <t xml:space="preserve">Recognized revenue</t>
  </si>
  <si>
    <t xml:space="preserve">   · in dollars (for P&amp;L)</t>
  </si>
  <si>
    <t xml:space="preserve">Lumen Analytics · Income Statement (Quarterly)</t>
  </si>
  <si>
    <t xml:space="preserve">Income Statement ($)</t>
  </si>
  <si>
    <t xml:space="preserve">Revenue</t>
  </si>
  <si>
    <t xml:space="preserve">Cost of revenue</t>
  </si>
  <si>
    <t xml:space="preserve">Gross profit</t>
  </si>
  <si>
    <t xml:space="preserve">   Gross margin</t>
  </si>
  <si>
    <t xml:space="preserve">Sales &amp; marketing</t>
  </si>
  <si>
    <t xml:space="preserve">Research &amp; development</t>
  </si>
  <si>
    <t xml:space="preserve">General &amp; administrative</t>
  </si>
  <si>
    <t xml:space="preserve">Total operating expenses</t>
  </si>
  <si>
    <t xml:space="preserve">Operating income</t>
  </si>
  <si>
    <t xml:space="preserve">   Operating margin</t>
  </si>
  <si>
    <t xml:space="preserve">Annual Summary ($M)</t>
  </si>
  <si>
    <t xml:space="preserve">2024</t>
  </si>
  <si>
    <t xml:space="preserve">2025</t>
  </si>
  <si>
    <t xml:space="preserve">2026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</si>
</sst>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+0.0%;\-0.0%;\-"/>
    <numFmt numFmtId="167" formatCode="0.0%;\(0.0%\);\-"/>
    <numFmt numFmtId="168" formatCode="\+0.0&quot;pp&quot;;\-0.0&quot;pp&quot;;\-"/>
    <numFmt numFmtId="169" formatCode="#,##0;\(#,##0\);\-"/>
    <numFmt numFmtId="170" formatCode="0.0&quot; mo&quot;"/>
    <numFmt numFmtId="171" formatCode="0.0\x"/>
    <numFmt numFmtId="172" formatCode="\$#,##0\K;&quot;($&quot;#,##0&quot;K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134E4A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4E4A"/>
        <bgColor rgb="FF333333"/>
      </patternFill>
    </fill>
    <fill>
      <patternFill patternType="solid">
        <fgColor rgb="FFFFF3BF"/>
        <bgColor rgb="FFFFFF99"/>
      </patternFill>
    </fill>
    <fill>
      <patternFill patternType="solid">
        <fgColor rgb="FFF1F5F9"/>
        <bgColor rgb="FFE6EFED"/>
      </patternFill>
    </fill>
    <fill>
      <patternFill patternType="solid">
        <fgColor rgb="FFE6EFED"/>
        <bgColor rgb="FFF1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4A3B8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 style="thin">
        <color rgb="FF94A3B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E6EFED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4A3B8"/>
      <rgbColor rgb="FF134E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3" t="s">
        <v>3</v>
      </c>
      <c r="C6" s="3"/>
      <c r="D6" s="3"/>
    </row>
    <row r="7" customFormat="false" ht="15" hidden="false" customHeight="false" outlineLevel="0" collapsed="false">
      <c r="B7" s="3" t="s">
        <v>4</v>
      </c>
      <c r="C7" s="3"/>
      <c r="D7" s="3"/>
    </row>
    <row r="8" customFormat="false" ht="15" hidden="false" customHeight="false" outlineLevel="0" collapsed="false">
      <c r="B8" s="3" t="s">
        <v>5</v>
      </c>
      <c r="C8" s="3"/>
      <c r="D8" s="3"/>
    </row>
    <row r="9" customFormat="false" ht="15" hidden="false" customHeight="false" outlineLevel="0" collapsed="false">
      <c r="B9" s="3"/>
      <c r="C9" s="3"/>
      <c r="D9" s="3"/>
    </row>
    <row r="10" customFormat="false" ht="15" hidden="false" customHeight="false" outlineLevel="0" collapsed="false">
      <c r="B10" s="3" t="s">
        <v>6</v>
      </c>
      <c r="C10" s="3"/>
      <c r="D10" s="3"/>
    </row>
    <row r="11" customFormat="false" ht="15" hidden="false" customHeight="false" outlineLevel="0" collapsed="false">
      <c r="B11" s="4" t="s">
        <v>7</v>
      </c>
      <c r="C11" s="4"/>
      <c r="D11" s="4"/>
    </row>
    <row r="12" customFormat="false" ht="15" hidden="false" customHeight="false" outlineLevel="0" collapsed="false">
      <c r="B12" s="4" t="s">
        <v>8</v>
      </c>
      <c r="C12" s="4"/>
      <c r="D12" s="4"/>
    </row>
    <row r="13" customFormat="false" ht="15" hidden="false" customHeight="false" outlineLevel="0" collapsed="false">
      <c r="B13" s="4" t="s">
        <v>9</v>
      </c>
      <c r="C13" s="4"/>
      <c r="D13" s="4"/>
    </row>
    <row r="14" customFormat="false" ht="15" hidden="false" customHeight="false" outlineLevel="0" collapsed="false">
      <c r="B14" s="3"/>
      <c r="C14" s="3"/>
      <c r="D14" s="3"/>
    </row>
    <row r="15" customFormat="false" ht="15" hidden="false" customHeight="false" outlineLevel="0" collapsed="false">
      <c r="B15" s="3" t="s">
        <v>10</v>
      </c>
      <c r="C15" s="3"/>
      <c r="D15" s="3"/>
    </row>
    <row r="16" customFormat="false" ht="15" hidden="false" customHeight="false" outlineLevel="0" collapsed="false">
      <c r="B16" s="4" t="s">
        <v>11</v>
      </c>
      <c r="C16" s="4"/>
      <c r="D16" s="4"/>
    </row>
    <row r="17" customFormat="false" ht="15" hidden="false" customHeight="false" outlineLevel="0" collapsed="false">
      <c r="B17" s="4" t="s">
        <v>12</v>
      </c>
      <c r="C17" s="4"/>
      <c r="D17" s="4"/>
    </row>
    <row r="18" customFormat="false" ht="15" hidden="false" customHeight="false" outlineLevel="0" collapsed="false">
      <c r="B18" s="4" t="s">
        <v>13</v>
      </c>
      <c r="C18" s="4"/>
      <c r="D18" s="4"/>
    </row>
    <row r="19" customFormat="false" ht="15" hidden="false" customHeight="false" outlineLevel="0" collapsed="false">
      <c r="B19" s="4" t="s">
        <v>14</v>
      </c>
      <c r="C19" s="4"/>
      <c r="D19" s="4"/>
    </row>
    <row r="20" customFormat="false" ht="15" hidden="false" customHeight="false" outlineLevel="0" collapsed="false">
      <c r="B20" s="3"/>
      <c r="C20" s="3"/>
      <c r="D20" s="3"/>
    </row>
    <row r="21" customFormat="false" ht="15" hidden="false" customHeight="false" outlineLevel="0" collapsed="false">
      <c r="B21" s="3" t="s">
        <v>15</v>
      </c>
      <c r="C21" s="3"/>
      <c r="D21" s="3"/>
    </row>
    <row r="22" customFormat="false" ht="15" hidden="false" customHeight="false" outlineLevel="0" collapsed="false">
      <c r="B22" s="4" t="s">
        <v>16</v>
      </c>
      <c r="C22" s="4"/>
      <c r="D22" s="4"/>
    </row>
    <row r="23" customFormat="false" ht="15" hidden="false" customHeight="false" outlineLevel="0" collapsed="false">
      <c r="B23" s="4" t="s">
        <v>17</v>
      </c>
      <c r="C23" s="4"/>
      <c r="D23" s="4"/>
    </row>
    <row r="24" customFormat="false" ht="15" hidden="false" customHeight="false" outlineLevel="0" collapsed="false">
      <c r="B24" s="4" t="s">
        <v>18</v>
      </c>
      <c r="C24" s="4"/>
      <c r="D24" s="4"/>
    </row>
    <row r="25" customFormat="false" ht="15" hidden="false" customHeight="false" outlineLevel="0" collapsed="false">
      <c r="B25" s="3"/>
      <c r="C25" s="3"/>
      <c r="D25" s="3"/>
    </row>
    <row r="26" customFormat="false" ht="15" hidden="false" customHeight="false" outlineLevel="0" collapsed="false">
      <c r="B26" s="3" t="s">
        <v>19</v>
      </c>
      <c r="C26" s="3"/>
      <c r="D26" s="3"/>
    </row>
  </sheetData>
  <mergeCells count="23">
    <mergeCell ref="A1:P1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9" min="3" style="0" width="14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B3" s="2" t="s">
        <v>21</v>
      </c>
      <c r="C3" s="5" t="str">
        <f aca="false">Scenario&amp;" case"</f>
        <v>Base case</v>
      </c>
      <c r="D3" s="6" t="s">
        <v>22</v>
      </c>
    </row>
    <row r="5" customFormat="false" ht="15" hidden="false" customHeight="false" outlineLevel="0" collapsed="false">
      <c r="A5" s="7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customFormat="false" ht="15" hidden="false" customHeight="false" outlineLevel="0" collapsed="false">
      <c r="A6" s="9"/>
      <c r="B6" s="9" t="s">
        <v>24</v>
      </c>
      <c r="C6" s="10" t="s">
        <v>25</v>
      </c>
      <c r="D6" s="10" t="s">
        <v>26</v>
      </c>
      <c r="E6" s="10" t="s">
        <v>27</v>
      </c>
      <c r="F6" s="10" t="s">
        <v>28</v>
      </c>
    </row>
    <row r="7" customFormat="false" ht="15" hidden="false" customHeight="false" outlineLevel="0" collapsed="false">
      <c r="B7" s="11" t="s">
        <v>29</v>
      </c>
      <c r="C7" s="12" t="n">
        <f aca="false">Revenue!F19/1000</f>
        <v>5.57477165417794</v>
      </c>
      <c r="D7" s="12" t="n">
        <f aca="false">Revenue!J19/1000</f>
        <v>11.2782430836571</v>
      </c>
      <c r="E7" s="12" t="n">
        <f aca="false">Revenue!N19/1000</f>
        <v>19.8509683820117</v>
      </c>
      <c r="F7" s="13" t="n">
        <f aca="false">IFERROR(E7/D7-1,0)</f>
        <v>0.760111768718393</v>
      </c>
    </row>
    <row r="8" customFormat="false" ht="15" hidden="false" customHeight="false" outlineLevel="0" collapsed="false">
      <c r="B8" s="11" t="s">
        <v>30</v>
      </c>
      <c r="C8" s="12" t="n">
        <f aca="false">SUM(Revenue!C22:F22)/1000000</f>
        <v>3.69517396697032</v>
      </c>
      <c r="D8" s="12" t="n">
        <f aca="false">SUM(Revenue!G22:J22)/1000000</f>
        <v>8.24203508649289</v>
      </c>
      <c r="E8" s="12" t="n">
        <f aca="false">SUM(Revenue!K22:N22)/1000000</f>
        <v>15.3353625619812</v>
      </c>
      <c r="F8" s="13" t="n">
        <f aca="false">IFERROR(E8/D8-1,0)</f>
        <v>0.86062815810053</v>
      </c>
    </row>
    <row r="9" customFormat="false" ht="15" hidden="false" customHeight="false" outlineLevel="0" collapsed="false">
      <c r="B9" s="14" t="s">
        <v>31</v>
      </c>
      <c r="C9" s="15" t="n">
        <f aca="false">IFERROR(SUM('P&amp;L'!C7:F7)/SUM('P&amp;L'!C5:F5),0)</f>
        <v>0.78</v>
      </c>
      <c r="D9" s="15" t="n">
        <f aca="false">IFERROR(SUM('P&amp;L'!G7:J7)/SUM('P&amp;L'!G5:J5),0)</f>
        <v>0.78</v>
      </c>
      <c r="E9" s="15" t="n">
        <f aca="false">IFERROR(SUM('P&amp;L'!K7:N7)/SUM('P&amp;L'!K5:N5),0)</f>
        <v>0.78</v>
      </c>
      <c r="F9" s="16" t="n">
        <f aca="false">E9-D9</f>
        <v>0</v>
      </c>
    </row>
    <row r="10" customFormat="false" ht="15" hidden="false" customHeight="false" outlineLevel="0" collapsed="false">
      <c r="B10" s="14" t="s">
        <v>32</v>
      </c>
      <c r="C10" s="15" t="n">
        <f aca="false">IFERROR(SUM('P&amp;L'!C13:F13)/SUM('P&amp;L'!C5:F5),0)</f>
        <v>-0.097621118962008</v>
      </c>
      <c r="D10" s="15" t="n">
        <f aca="false">IFERROR(SUM('P&amp;L'!G13:J13)/SUM('P&amp;L'!G5:J5),0)</f>
        <v>-0.00489838657767444</v>
      </c>
      <c r="E10" s="15" t="n">
        <f aca="false">IFERROR(SUM('P&amp;L'!K13:N13)/SUM('P&amp;L'!K5:N5),0)</f>
        <v>0.0886692577860972</v>
      </c>
      <c r="F10" s="16" t="n">
        <f aca="false">E10-D10</f>
        <v>0.0935676443637716</v>
      </c>
    </row>
    <row r="11" customFormat="false" ht="15" hidden="false" customHeight="false" outlineLevel="0" collapsed="false">
      <c r="B11" s="14" t="s">
        <v>33</v>
      </c>
      <c r="C11" s="17" t="n">
        <f aca="false">Revenue!F10</f>
        <v>347.119297178683</v>
      </c>
      <c r="D11" s="17" t="n">
        <f aca="false">Revenue!J10</f>
        <v>625.558233228586</v>
      </c>
      <c r="E11" s="17" t="n">
        <f aca="false">Revenue!N10</f>
        <v>987.266054644533</v>
      </c>
      <c r="F11" s="13" t="n">
        <f aca="false">IFERROR(E11/D11-1,0)</f>
        <v>0.578216067190303</v>
      </c>
    </row>
    <row r="12" customFormat="false" ht="15" hidden="false" customHeight="false" outlineLevel="0" collapsed="false">
      <c r="B12" s="14" t="s">
        <v>34</v>
      </c>
      <c r="C12" s="17" t="n">
        <f aca="false">SUM(Revenue!C8:F8)</f>
        <v>215.06976</v>
      </c>
      <c r="D12" s="17" t="n">
        <f aca="false">SUM(Revenue!G8:J8)</f>
        <v>315.142177854874</v>
      </c>
      <c r="E12" s="17" t="n">
        <f aca="false">SUM(Revenue!K8:N8)</f>
        <v>423.968651625551</v>
      </c>
      <c r="F12" s="13" t="n">
        <f aca="false">IFERROR(E12/D12-1,0)</f>
        <v>0.345325003817144</v>
      </c>
    </row>
    <row r="14" customFormat="false" ht="15" hidden="false" customHeight="false" outlineLevel="0" collapsed="false">
      <c r="A14" s="7" t="s">
        <v>35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B15" s="18" t="s">
        <v>24</v>
      </c>
      <c r="C15" s="18" t="s">
        <v>36</v>
      </c>
      <c r="D15" s="18" t="s">
        <v>37</v>
      </c>
      <c r="E15" s="8"/>
      <c r="F15" s="8"/>
      <c r="G15" s="8"/>
    </row>
    <row r="16" customFormat="false" ht="15" hidden="false" customHeight="false" outlineLevel="0" collapsed="false">
      <c r="B16" s="14" t="s">
        <v>38</v>
      </c>
      <c r="C16" s="19" t="n">
        <f aca="false">Assumptions!$C$32</f>
        <v>1.15</v>
      </c>
      <c r="D16" s="6" t="s">
        <v>39</v>
      </c>
    </row>
    <row r="17" customFormat="false" ht="15" hidden="false" customHeight="false" outlineLevel="0" collapsed="false">
      <c r="B17" s="14" t="s">
        <v>40</v>
      </c>
      <c r="C17" s="19" t="n">
        <f aca="false">Assumptions!$C$31</f>
        <v>0.92</v>
      </c>
      <c r="D17" s="6" t="s">
        <v>41</v>
      </c>
    </row>
    <row r="18" customFormat="false" ht="15" hidden="false" customHeight="false" outlineLevel="0" collapsed="false">
      <c r="B18" s="14" t="s">
        <v>42</v>
      </c>
      <c r="C18" s="20" t="n">
        <f aca="false">Assumptions!$C$42</f>
        <v>11500</v>
      </c>
      <c r="D18" s="6" t="s">
        <v>43</v>
      </c>
    </row>
    <row r="19" customFormat="false" ht="15" hidden="false" customHeight="false" outlineLevel="0" collapsed="false">
      <c r="B19" s="14" t="s">
        <v>44</v>
      </c>
      <c r="C19" s="21" t="n">
        <f aca="false">IFERROR(Assumptions!$C$42/(Assumptions!C47*Assumptions!$C$33/12),0)</f>
        <v>12.6373626373626</v>
      </c>
      <c r="D19" s="6" t="s">
        <v>45</v>
      </c>
    </row>
    <row r="20" customFormat="false" ht="15" hidden="false" customHeight="false" outlineLevel="0" collapsed="false">
      <c r="B20" s="14" t="s">
        <v>46</v>
      </c>
      <c r="C20" s="20" t="n">
        <f aca="false">IFERROR(Assumptions!C47*Assumptions!$C$33/(1-Assumptions!$C$31),0)</f>
        <v>136500</v>
      </c>
      <c r="D20" s="6" t="s">
        <v>47</v>
      </c>
    </row>
    <row r="21" customFormat="false" ht="15" hidden="false" customHeight="false" outlineLevel="0" collapsed="false">
      <c r="B21" s="14" t="s">
        <v>48</v>
      </c>
      <c r="C21" s="22" t="n">
        <f aca="false">IFERROR((Assumptions!C47*Assumptions!$C$33/(1-Assumptions!$C$31))/Assumptions!$C$42,0)</f>
        <v>11.8695652173913</v>
      </c>
      <c r="D21" s="6" t="s">
        <v>49</v>
      </c>
    </row>
    <row r="22" customFormat="false" ht="15" hidden="false" customHeight="false" outlineLevel="0" collapsed="false">
      <c r="B22" s="14" t="s">
        <v>50</v>
      </c>
      <c r="C22" s="19" t="n">
        <f aca="false">IFERROR((Revenue!N19/Revenue!K19-1)+IFERROR(SUM('P&amp;L'!K13:N13)/SUM('P&amp;L'!K5:N5),0),0)</f>
        <v>0.597886088691712</v>
      </c>
      <c r="D22" s="6" t="s">
        <v>51</v>
      </c>
    </row>
    <row r="25" customFormat="false" ht="15" hidden="false" customHeight="false" outlineLevel="0" collapsed="false">
      <c r="B25" s="6" t="s">
        <v>52</v>
      </c>
    </row>
    <row r="26" customFormat="false" ht="15" hidden="false" customHeight="false" outlineLevel="0" collapsed="false">
      <c r="B26" s="6" t="s">
        <v>53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6" min="2" style="0" width="11"/>
  </cols>
  <sheetData>
    <row r="1" customFormat="false" ht="27.7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1" t="s">
        <v>21</v>
      </c>
      <c r="C3" s="23" t="s">
        <v>55</v>
      </c>
    </row>
    <row r="5" customFormat="false" ht="15" hidden="false" customHeight="false" outlineLevel="0" collapsed="false">
      <c r="A5" s="2" t="s">
        <v>56</v>
      </c>
    </row>
    <row r="6" customFormat="false" ht="15" hidden="false" customHeight="false" outlineLevel="0" collapsed="false">
      <c r="C6" s="24" t="s">
        <v>55</v>
      </c>
      <c r="D6" s="24" t="s">
        <v>57</v>
      </c>
      <c r="E6" s="24" t="s">
        <v>58</v>
      </c>
    </row>
    <row r="7" customFormat="false" ht="15" hidden="false" customHeight="false" outlineLevel="0" collapsed="false">
      <c r="A7" s="14" t="s">
        <v>59</v>
      </c>
      <c r="C7" s="25" t="n">
        <v>150</v>
      </c>
      <c r="D7" s="25" t="n">
        <v>150</v>
      </c>
      <c r="E7" s="25" t="n">
        <v>150</v>
      </c>
    </row>
    <row r="8" customFormat="false" ht="15" hidden="false" customHeight="false" outlineLevel="0" collapsed="false">
      <c r="A8" s="14" t="s">
        <v>60</v>
      </c>
      <c r="C8" s="26" t="n">
        <v>0.12</v>
      </c>
      <c r="D8" s="26" t="n">
        <v>0.15</v>
      </c>
      <c r="E8" s="26" t="n">
        <v>0.08</v>
      </c>
    </row>
    <row r="9" customFormat="false" ht="15" hidden="false" customHeight="false" outlineLevel="0" collapsed="false">
      <c r="A9" s="14" t="s">
        <v>61</v>
      </c>
      <c r="C9" s="26" t="n">
        <v>0.09</v>
      </c>
      <c r="D9" s="26" t="n">
        <v>0.12</v>
      </c>
      <c r="E9" s="26" t="n">
        <v>0.05</v>
      </c>
    </row>
    <row r="10" customFormat="false" ht="15" hidden="false" customHeight="false" outlineLevel="0" collapsed="false">
      <c r="A10" s="14" t="s">
        <v>62</v>
      </c>
      <c r="C10" s="26" t="n">
        <v>0.07</v>
      </c>
      <c r="D10" s="26" t="n">
        <v>0.09</v>
      </c>
      <c r="E10" s="26" t="n">
        <v>0.03</v>
      </c>
    </row>
    <row r="11" customFormat="false" ht="15" hidden="false" customHeight="false" outlineLevel="0" collapsed="false">
      <c r="A11" s="14" t="s">
        <v>63</v>
      </c>
      <c r="C11" s="25" t="n">
        <v>45</v>
      </c>
      <c r="D11" s="25" t="n">
        <v>50</v>
      </c>
      <c r="E11" s="25" t="n">
        <v>35</v>
      </c>
    </row>
    <row r="12" customFormat="false" ht="15" hidden="false" customHeight="false" outlineLevel="0" collapsed="false">
      <c r="A12" s="14" t="s">
        <v>40</v>
      </c>
      <c r="C12" s="26" t="n">
        <v>0.92</v>
      </c>
      <c r="D12" s="26" t="n">
        <v>0.94</v>
      </c>
      <c r="E12" s="26" t="n">
        <v>0.88</v>
      </c>
    </row>
    <row r="13" customFormat="false" ht="15" hidden="false" customHeight="false" outlineLevel="0" collapsed="false">
      <c r="A13" s="14" t="s">
        <v>38</v>
      </c>
      <c r="C13" s="26" t="n">
        <v>1.15</v>
      </c>
      <c r="D13" s="26" t="n">
        <v>1.25</v>
      </c>
      <c r="E13" s="26" t="n">
        <v>1.05</v>
      </c>
    </row>
    <row r="14" customFormat="false" ht="15" hidden="false" customHeight="false" outlineLevel="0" collapsed="false">
      <c r="A14" s="14" t="s">
        <v>31</v>
      </c>
      <c r="C14" s="26" t="n">
        <v>0.78</v>
      </c>
      <c r="D14" s="26" t="n">
        <v>0.8</v>
      </c>
      <c r="E14" s="26" t="n">
        <v>0.75</v>
      </c>
    </row>
    <row r="15" customFormat="false" ht="15" hidden="false" customHeight="false" outlineLevel="0" collapsed="false">
      <c r="A15" s="14" t="s">
        <v>64</v>
      </c>
      <c r="C15" s="26" t="n">
        <v>0.48</v>
      </c>
      <c r="D15" s="26" t="n">
        <v>0.42</v>
      </c>
      <c r="E15" s="26" t="n">
        <v>0.55</v>
      </c>
    </row>
    <row r="16" customFormat="false" ht="15" hidden="false" customHeight="false" outlineLevel="0" collapsed="false">
      <c r="A16" s="14" t="s">
        <v>65</v>
      </c>
      <c r="C16" s="26" t="n">
        <v>0.34</v>
      </c>
      <c r="D16" s="26" t="n">
        <v>0.28</v>
      </c>
      <c r="E16" s="26" t="n">
        <v>0.42</v>
      </c>
    </row>
    <row r="17" customFormat="false" ht="15" hidden="false" customHeight="false" outlineLevel="0" collapsed="false">
      <c r="A17" s="14" t="s">
        <v>66</v>
      </c>
      <c r="C17" s="26" t="n">
        <v>0.3</v>
      </c>
      <c r="D17" s="26" t="n">
        <v>0.26</v>
      </c>
      <c r="E17" s="26" t="n">
        <v>0.34</v>
      </c>
    </row>
    <row r="18" customFormat="false" ht="15" hidden="false" customHeight="false" outlineLevel="0" collapsed="false">
      <c r="A18" s="14" t="s">
        <v>67</v>
      </c>
      <c r="C18" s="26" t="n">
        <v>0.22</v>
      </c>
      <c r="D18" s="26" t="n">
        <v>0.2</v>
      </c>
      <c r="E18" s="26" t="n">
        <v>0.26</v>
      </c>
    </row>
    <row r="19" customFormat="false" ht="15" hidden="false" customHeight="false" outlineLevel="0" collapsed="false">
      <c r="A19" s="14" t="s">
        <v>68</v>
      </c>
      <c r="C19" s="26" t="n">
        <v>0.14</v>
      </c>
      <c r="D19" s="26" t="n">
        <v>0.12</v>
      </c>
      <c r="E19" s="26" t="n">
        <v>0.16</v>
      </c>
    </row>
    <row r="20" customFormat="false" ht="15" hidden="false" customHeight="false" outlineLevel="0" collapsed="false">
      <c r="A20" s="14" t="s">
        <v>69</v>
      </c>
      <c r="C20" s="26" t="n">
        <v>0.1</v>
      </c>
      <c r="D20" s="26" t="n">
        <v>0.09</v>
      </c>
      <c r="E20" s="26" t="n">
        <v>0.13</v>
      </c>
    </row>
    <row r="21" customFormat="false" ht="15" hidden="false" customHeight="false" outlineLevel="0" collapsed="false">
      <c r="A21" s="14" t="s">
        <v>70</v>
      </c>
      <c r="C21" s="27" t="n">
        <v>14000</v>
      </c>
      <c r="D21" s="27" t="n">
        <v>15500</v>
      </c>
      <c r="E21" s="27" t="n">
        <v>12500</v>
      </c>
    </row>
    <row r="22" customFormat="false" ht="15" hidden="false" customHeight="false" outlineLevel="0" collapsed="false">
      <c r="A22" s="14" t="s">
        <v>71</v>
      </c>
      <c r="C22" s="26" t="n">
        <v>0.05</v>
      </c>
      <c r="D22" s="26" t="n">
        <v>0.07</v>
      </c>
      <c r="E22" s="26" t="n">
        <v>0.03</v>
      </c>
    </row>
    <row r="23" customFormat="false" ht="15" hidden="false" customHeight="false" outlineLevel="0" collapsed="false">
      <c r="A23" s="14" t="s">
        <v>72</v>
      </c>
      <c r="C23" s="27" t="n">
        <v>11500</v>
      </c>
      <c r="D23" s="27" t="n">
        <v>10500</v>
      </c>
      <c r="E23" s="27" t="n">
        <v>13000</v>
      </c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2" t="s">
        <v>73</v>
      </c>
    </row>
    <row r="26" customFormat="false" ht="15" hidden="false" customHeight="false" outlineLevel="0" collapsed="false">
      <c r="A26" s="14" t="s">
        <v>59</v>
      </c>
      <c r="C26" s="28" t="n">
        <f aca="false">INDEX(C7:E7,MATCH(Scenario,$C$6:$E$6,0))</f>
        <v>150</v>
      </c>
    </row>
    <row r="27" customFormat="false" ht="15" hidden="false" customHeight="false" outlineLevel="0" collapsed="false">
      <c r="A27" s="14" t="s">
        <v>60</v>
      </c>
      <c r="C27" s="29" t="n">
        <f aca="false">INDEX(C8:E8,MATCH(Scenario,$C$6:$E$6,0))</f>
        <v>0.12</v>
      </c>
    </row>
    <row r="28" customFormat="false" ht="15" hidden="false" customHeight="false" outlineLevel="0" collapsed="false">
      <c r="A28" s="14" t="s">
        <v>61</v>
      </c>
      <c r="C28" s="29" t="n">
        <f aca="false">INDEX(C9:E9,MATCH(Scenario,$C$6:$E$6,0))</f>
        <v>0.09</v>
      </c>
    </row>
    <row r="29" customFormat="false" ht="15" hidden="false" customHeight="false" outlineLevel="0" collapsed="false">
      <c r="A29" s="14" t="s">
        <v>62</v>
      </c>
      <c r="C29" s="29" t="n">
        <f aca="false">INDEX(C10:E10,MATCH(Scenario,$C$6:$E$6,0))</f>
        <v>0.07</v>
      </c>
    </row>
    <row r="30" customFormat="false" ht="15" hidden="false" customHeight="false" outlineLevel="0" collapsed="false">
      <c r="A30" s="14" t="s">
        <v>63</v>
      </c>
      <c r="C30" s="28" t="n">
        <f aca="false">INDEX(C11:E11,MATCH(Scenario,$C$6:$E$6,0))</f>
        <v>45</v>
      </c>
    </row>
    <row r="31" customFormat="false" ht="15" hidden="false" customHeight="false" outlineLevel="0" collapsed="false">
      <c r="A31" s="14" t="s">
        <v>40</v>
      </c>
      <c r="C31" s="29" t="n">
        <f aca="false">INDEX(C12:E12,MATCH(Scenario,$C$6:$E$6,0))</f>
        <v>0.92</v>
      </c>
    </row>
    <row r="32" customFormat="false" ht="15" hidden="false" customHeight="false" outlineLevel="0" collapsed="false">
      <c r="A32" s="14" t="s">
        <v>38</v>
      </c>
      <c r="C32" s="29" t="n">
        <f aca="false">INDEX(C13:E13,MATCH(Scenario,$C$6:$E$6,0))</f>
        <v>1.15</v>
      </c>
    </row>
    <row r="33" customFormat="false" ht="15" hidden="false" customHeight="false" outlineLevel="0" collapsed="false">
      <c r="A33" s="14" t="s">
        <v>31</v>
      </c>
      <c r="C33" s="29" t="n">
        <f aca="false">INDEX(C14:E14,MATCH(Scenario,$C$6:$E$6,0))</f>
        <v>0.78</v>
      </c>
    </row>
    <row r="34" customFormat="false" ht="15" hidden="false" customHeight="false" outlineLevel="0" collapsed="false">
      <c r="A34" s="14" t="s">
        <v>64</v>
      </c>
      <c r="C34" s="29" t="n">
        <f aca="false">INDEX(C15:E15,MATCH(Scenario,$C$6:$E$6,0))</f>
        <v>0.48</v>
      </c>
    </row>
    <row r="35" customFormat="false" ht="15" hidden="false" customHeight="false" outlineLevel="0" collapsed="false">
      <c r="A35" s="14" t="s">
        <v>65</v>
      </c>
      <c r="C35" s="29" t="n">
        <f aca="false">INDEX(C16:E16,MATCH(Scenario,$C$6:$E$6,0))</f>
        <v>0.34</v>
      </c>
    </row>
    <row r="36" customFormat="false" ht="15" hidden="false" customHeight="false" outlineLevel="0" collapsed="false">
      <c r="A36" s="14" t="s">
        <v>66</v>
      </c>
      <c r="C36" s="29" t="n">
        <f aca="false">INDEX(C17:E17,MATCH(Scenario,$C$6:$E$6,0))</f>
        <v>0.3</v>
      </c>
    </row>
    <row r="37" customFormat="false" ht="15" hidden="false" customHeight="false" outlineLevel="0" collapsed="false">
      <c r="A37" s="14" t="s">
        <v>67</v>
      </c>
      <c r="C37" s="29" t="n">
        <f aca="false">INDEX(C18:E18,MATCH(Scenario,$C$6:$E$6,0))</f>
        <v>0.22</v>
      </c>
    </row>
    <row r="38" customFormat="false" ht="15" hidden="false" customHeight="false" outlineLevel="0" collapsed="false">
      <c r="A38" s="14" t="s">
        <v>68</v>
      </c>
      <c r="C38" s="29" t="n">
        <f aca="false">INDEX(C19:E19,MATCH(Scenario,$C$6:$E$6,0))</f>
        <v>0.14</v>
      </c>
    </row>
    <row r="39" customFormat="false" ht="15" hidden="false" customHeight="false" outlineLevel="0" collapsed="false">
      <c r="A39" s="14" t="s">
        <v>69</v>
      </c>
      <c r="C39" s="29" t="n">
        <f aca="false">INDEX(C20:E20,MATCH(Scenario,$C$6:$E$6,0))</f>
        <v>0.1</v>
      </c>
    </row>
    <row r="40" customFormat="false" ht="15" hidden="false" customHeight="false" outlineLevel="0" collapsed="false">
      <c r="A40" s="14" t="s">
        <v>70</v>
      </c>
      <c r="C40" s="30" t="n">
        <f aca="false">INDEX(C21:E21,MATCH(Scenario,$C$6:$E$6,0))</f>
        <v>14000</v>
      </c>
    </row>
    <row r="41" customFormat="false" ht="15" hidden="false" customHeight="false" outlineLevel="0" collapsed="false">
      <c r="A41" s="14" t="s">
        <v>71</v>
      </c>
      <c r="C41" s="29" t="n">
        <f aca="false">INDEX(C22:E22,MATCH(Scenario,$C$6:$E$6,0))</f>
        <v>0.05</v>
      </c>
    </row>
    <row r="42" customFormat="false" ht="15" hidden="false" customHeight="false" outlineLevel="0" collapsed="false">
      <c r="A42" s="14" t="s">
        <v>72</v>
      </c>
      <c r="C42" s="30" t="n">
        <f aca="false">INDEX(C23:E23,MATCH(Scenario,$C$6:$E$6,0))</f>
        <v>11500</v>
      </c>
    </row>
    <row r="44" customFormat="false" ht="15" hidden="false" customHeight="false" outlineLevel="0" collapsed="false">
      <c r="A44" s="2" t="s">
        <v>74</v>
      </c>
    </row>
    <row r="45" customFormat="false" ht="15" hidden="false" customHeight="false" outlineLevel="0" collapsed="false">
      <c r="A45" s="11"/>
      <c r="B45" s="6" t="s">
        <v>75</v>
      </c>
      <c r="C45" s="31" t="s">
        <v>76</v>
      </c>
      <c r="D45" s="10" t="s">
        <v>77</v>
      </c>
      <c r="E45" s="10" t="s">
        <v>78</v>
      </c>
      <c r="F45" s="10" t="s">
        <v>79</v>
      </c>
      <c r="G45" s="31" t="s">
        <v>80</v>
      </c>
      <c r="H45" s="10" t="s">
        <v>81</v>
      </c>
      <c r="I45" s="10" t="s">
        <v>82</v>
      </c>
      <c r="J45" s="10" t="s">
        <v>83</v>
      </c>
      <c r="K45" s="31" t="s">
        <v>84</v>
      </c>
      <c r="L45" s="10" t="s">
        <v>85</v>
      </c>
      <c r="M45" s="10" t="s">
        <v>86</v>
      </c>
      <c r="N45" s="10" t="s">
        <v>87</v>
      </c>
      <c r="O45" s="10" t="s">
        <v>88</v>
      </c>
    </row>
    <row r="46" customFormat="false" ht="15" hidden="false" customHeight="false" outlineLevel="0" collapsed="false">
      <c r="A46" s="14" t="s">
        <v>89</v>
      </c>
      <c r="B46" s="6" t="s">
        <v>90</v>
      </c>
      <c r="C46" s="32" t="n">
        <f aca="false">Assumptions!$C$30</f>
        <v>45</v>
      </c>
      <c r="D46" s="32" t="n">
        <f aca="false">C46*(1+Assumptions!$C$27)</f>
        <v>50.4</v>
      </c>
      <c r="E46" s="32" t="n">
        <f aca="false">D46*(1+Assumptions!$C$27)</f>
        <v>56.448</v>
      </c>
      <c r="F46" s="32" t="n">
        <f aca="false">E46*(1+Assumptions!$C$27)</f>
        <v>63.22176</v>
      </c>
      <c r="G46" s="32" t="n">
        <f aca="false">F46*(1+Assumptions!$C$28)</f>
        <v>68.9117184</v>
      </c>
      <c r="H46" s="32" t="n">
        <f aca="false">G46*(1+Assumptions!$C$28)</f>
        <v>75.113773056</v>
      </c>
      <c r="I46" s="32" t="n">
        <f aca="false">H46*(1+Assumptions!$C$28)</f>
        <v>81.87401263104</v>
      </c>
      <c r="J46" s="32" t="n">
        <f aca="false">I46*(1+Assumptions!$C$28)</f>
        <v>89.2426737678336</v>
      </c>
      <c r="K46" s="32" t="n">
        <f aca="false">J46*(1+Assumptions!$C$29)</f>
        <v>95.489660931582</v>
      </c>
      <c r="L46" s="32" t="n">
        <f aca="false">K46*(1+Assumptions!$C$29)</f>
        <v>102.173937196793</v>
      </c>
      <c r="M46" s="32" t="n">
        <f aca="false">L46*(1+Assumptions!$C$29)</f>
        <v>109.326112800568</v>
      </c>
      <c r="N46" s="32" t="n">
        <f aca="false">M46*(1+Assumptions!$C$29)</f>
        <v>116.978940696608</v>
      </c>
      <c r="O46" s="33" t="n">
        <f aca="false">SUM(C46:N46)</f>
        <v>954.180589480425</v>
      </c>
    </row>
    <row r="47" customFormat="false" ht="15" hidden="false" customHeight="false" outlineLevel="0" collapsed="false">
      <c r="A47" s="14" t="s">
        <v>91</v>
      </c>
      <c r="B47" s="6" t="s">
        <v>92</v>
      </c>
      <c r="C47" s="34" t="n">
        <f aca="false">Assumptions!$C$40*(1+Assumptions!$C$41)^0</f>
        <v>14000</v>
      </c>
      <c r="D47" s="34" t="n">
        <f aca="false">Assumptions!$C$40*(1+Assumptions!$C$41)^0</f>
        <v>14000</v>
      </c>
      <c r="E47" s="34" t="n">
        <f aca="false">Assumptions!$C$40*(1+Assumptions!$C$41)^0</f>
        <v>14000</v>
      </c>
      <c r="F47" s="34" t="n">
        <f aca="false">Assumptions!$C$40*(1+Assumptions!$C$41)^0</f>
        <v>14000</v>
      </c>
      <c r="G47" s="34" t="n">
        <f aca="false">Assumptions!$C$40*(1+Assumptions!$C$41)^1</f>
        <v>14700</v>
      </c>
      <c r="H47" s="34" t="n">
        <f aca="false">Assumptions!$C$40*(1+Assumptions!$C$41)^1</f>
        <v>14700</v>
      </c>
      <c r="I47" s="34" t="n">
        <f aca="false">Assumptions!$C$40*(1+Assumptions!$C$41)^1</f>
        <v>14700</v>
      </c>
      <c r="J47" s="34" t="n">
        <f aca="false">Assumptions!$C$40*(1+Assumptions!$C$41)^1</f>
        <v>14700</v>
      </c>
      <c r="K47" s="34" t="n">
        <f aca="false">Assumptions!$C$40*(1+Assumptions!$C$41)^2</f>
        <v>15435</v>
      </c>
      <c r="L47" s="34" t="n">
        <f aca="false">Assumptions!$C$40*(1+Assumptions!$C$41)^2</f>
        <v>15435</v>
      </c>
      <c r="M47" s="34" t="n">
        <f aca="false">Assumptions!$C$40*(1+Assumptions!$C$41)^2</f>
        <v>15435</v>
      </c>
      <c r="N47" s="34" t="n">
        <f aca="false">Assumptions!$C$40*(1+Assumptions!$C$41)^2</f>
        <v>15435</v>
      </c>
      <c r="O47" s="35" t="n">
        <f aca="false">AVERAGE(C47:N47)</f>
        <v>14711.6666666667</v>
      </c>
    </row>
    <row r="48" customFormat="false" ht="15" hidden="false" customHeight="false" outlineLevel="0" collapsed="false">
      <c r="A48" s="14" t="s">
        <v>93</v>
      </c>
      <c r="B48" s="6" t="s">
        <v>94</v>
      </c>
      <c r="C48" s="36" t="n">
        <f aca="false">1-Assumptions!$C$31^(1/4)</f>
        <v>0.0206296386644407</v>
      </c>
      <c r="D48" s="36" t="n">
        <f aca="false">1-Assumptions!$C$31^(1/4)</f>
        <v>0.0206296386644407</v>
      </c>
      <c r="E48" s="36" t="n">
        <f aca="false">1-Assumptions!$C$31^(1/4)</f>
        <v>0.0206296386644407</v>
      </c>
      <c r="F48" s="36" t="n">
        <f aca="false">1-Assumptions!$C$31^(1/4)</f>
        <v>0.0206296386644407</v>
      </c>
      <c r="G48" s="36" t="n">
        <f aca="false">1-Assumptions!$C$31^(1/4)</f>
        <v>0.0206296386644407</v>
      </c>
      <c r="H48" s="36" t="n">
        <f aca="false">1-Assumptions!$C$31^(1/4)</f>
        <v>0.0206296386644407</v>
      </c>
      <c r="I48" s="36" t="n">
        <f aca="false">1-Assumptions!$C$31^(1/4)</f>
        <v>0.0206296386644407</v>
      </c>
      <c r="J48" s="36" t="n">
        <f aca="false">1-Assumptions!$C$31^(1/4)</f>
        <v>0.0206296386644407</v>
      </c>
      <c r="K48" s="36" t="n">
        <f aca="false">1-Assumptions!$C$31^(1/4)</f>
        <v>0.0206296386644407</v>
      </c>
      <c r="L48" s="36" t="n">
        <f aca="false">1-Assumptions!$C$31^(1/4)</f>
        <v>0.0206296386644407</v>
      </c>
      <c r="M48" s="36" t="n">
        <f aca="false">1-Assumptions!$C$31^(1/4)</f>
        <v>0.0206296386644407</v>
      </c>
      <c r="N48" s="36" t="n">
        <f aca="false">1-Assumptions!$C$31^(1/4)</f>
        <v>0.0206296386644407</v>
      </c>
    </row>
    <row r="49" customFormat="false" ht="15" hidden="false" customHeight="false" outlineLevel="0" collapsed="false">
      <c r="A49" s="14" t="s">
        <v>95</v>
      </c>
      <c r="B49" s="6" t="s">
        <v>94</v>
      </c>
      <c r="C49" s="36" t="n">
        <f aca="false">Assumptions!$C$32^(1/4)-Assumptions!$C$31^(1/4)</f>
        <v>0.0561877150060628</v>
      </c>
      <c r="D49" s="36" t="n">
        <f aca="false">Assumptions!$C$32^(1/4)-Assumptions!$C$31^(1/4)</f>
        <v>0.0561877150060628</v>
      </c>
      <c r="E49" s="36" t="n">
        <f aca="false">Assumptions!$C$32^(1/4)-Assumptions!$C$31^(1/4)</f>
        <v>0.0561877150060628</v>
      </c>
      <c r="F49" s="36" t="n">
        <f aca="false">Assumptions!$C$32^(1/4)-Assumptions!$C$31^(1/4)</f>
        <v>0.0561877150060628</v>
      </c>
      <c r="G49" s="36" t="n">
        <f aca="false">Assumptions!$C$32^(1/4)-Assumptions!$C$31^(1/4)</f>
        <v>0.0561877150060628</v>
      </c>
      <c r="H49" s="36" t="n">
        <f aca="false">Assumptions!$C$32^(1/4)-Assumptions!$C$31^(1/4)</f>
        <v>0.0561877150060628</v>
      </c>
      <c r="I49" s="36" t="n">
        <f aca="false">Assumptions!$C$32^(1/4)-Assumptions!$C$31^(1/4)</f>
        <v>0.0561877150060628</v>
      </c>
      <c r="J49" s="36" t="n">
        <f aca="false">Assumptions!$C$32^(1/4)-Assumptions!$C$31^(1/4)</f>
        <v>0.0561877150060628</v>
      </c>
      <c r="K49" s="36" t="n">
        <f aca="false">Assumptions!$C$32^(1/4)-Assumptions!$C$31^(1/4)</f>
        <v>0.0561877150060628</v>
      </c>
      <c r="L49" s="36" t="n">
        <f aca="false">Assumptions!$C$32^(1/4)-Assumptions!$C$31^(1/4)</f>
        <v>0.0561877150060628</v>
      </c>
      <c r="M49" s="36" t="n">
        <f aca="false">Assumptions!$C$32^(1/4)-Assumptions!$C$31^(1/4)</f>
        <v>0.0561877150060628</v>
      </c>
      <c r="N49" s="36" t="n">
        <f aca="false">Assumptions!$C$32^(1/4)-Assumptions!$C$31^(1/4)</f>
        <v>0.0561877150060628</v>
      </c>
    </row>
    <row r="50" customFormat="false" ht="15" hidden="false" customHeight="false" outlineLevel="0" collapsed="false">
      <c r="A50" s="14" t="s">
        <v>96</v>
      </c>
      <c r="B50" s="6" t="s">
        <v>94</v>
      </c>
      <c r="C50" s="36" t="n">
        <f aca="false">Assumptions!$C$34+(Assumptions!$C$35-Assumptions!$C$34)*0/11</f>
        <v>0.48</v>
      </c>
      <c r="D50" s="36" t="n">
        <f aca="false">Assumptions!$C$34+(Assumptions!$C$35-Assumptions!$C$34)*1/11</f>
        <v>0.467272727272727</v>
      </c>
      <c r="E50" s="36" t="n">
        <f aca="false">Assumptions!$C$34+(Assumptions!$C$35-Assumptions!$C$34)*2/11</f>
        <v>0.454545454545455</v>
      </c>
      <c r="F50" s="36" t="n">
        <f aca="false">Assumptions!$C$34+(Assumptions!$C$35-Assumptions!$C$34)*3/11</f>
        <v>0.441818181818182</v>
      </c>
      <c r="G50" s="36" t="n">
        <f aca="false">Assumptions!$C$34+(Assumptions!$C$35-Assumptions!$C$34)*4/11</f>
        <v>0.429090909090909</v>
      </c>
      <c r="H50" s="36" t="n">
        <f aca="false">Assumptions!$C$34+(Assumptions!$C$35-Assumptions!$C$34)*5/11</f>
        <v>0.416363636363636</v>
      </c>
      <c r="I50" s="36" t="n">
        <f aca="false">Assumptions!$C$34+(Assumptions!$C$35-Assumptions!$C$34)*6/11</f>
        <v>0.403636363636364</v>
      </c>
      <c r="J50" s="36" t="n">
        <f aca="false">Assumptions!$C$34+(Assumptions!$C$35-Assumptions!$C$34)*7/11</f>
        <v>0.390909090909091</v>
      </c>
      <c r="K50" s="36" t="n">
        <f aca="false">Assumptions!$C$34+(Assumptions!$C$35-Assumptions!$C$34)*8/11</f>
        <v>0.378181818181818</v>
      </c>
      <c r="L50" s="36" t="n">
        <f aca="false">Assumptions!$C$34+(Assumptions!$C$35-Assumptions!$C$34)*9/11</f>
        <v>0.365454545454546</v>
      </c>
      <c r="M50" s="36" t="n">
        <f aca="false">Assumptions!$C$34+(Assumptions!$C$35-Assumptions!$C$34)*10/11</f>
        <v>0.352727272727273</v>
      </c>
      <c r="N50" s="36" t="n">
        <f aca="false">Assumptions!$C$34+(Assumptions!$C$35-Assumptions!$C$34)*11/11</f>
        <v>0.34</v>
      </c>
    </row>
    <row r="51" customFormat="false" ht="15" hidden="false" customHeight="false" outlineLevel="0" collapsed="false">
      <c r="A51" s="14" t="s">
        <v>97</v>
      </c>
      <c r="B51" s="6" t="s">
        <v>94</v>
      </c>
      <c r="C51" s="36" t="n">
        <f aca="false">Assumptions!$C$36+(Assumptions!$C$37-Assumptions!$C$36)*0/11</f>
        <v>0.3</v>
      </c>
      <c r="D51" s="36" t="n">
        <f aca="false">Assumptions!$C$36+(Assumptions!$C$37-Assumptions!$C$36)*1/11</f>
        <v>0.292727272727273</v>
      </c>
      <c r="E51" s="36" t="n">
        <f aca="false">Assumptions!$C$36+(Assumptions!$C$37-Assumptions!$C$36)*2/11</f>
        <v>0.285454545454545</v>
      </c>
      <c r="F51" s="36" t="n">
        <f aca="false">Assumptions!$C$36+(Assumptions!$C$37-Assumptions!$C$36)*3/11</f>
        <v>0.278181818181818</v>
      </c>
      <c r="G51" s="36" t="n">
        <f aca="false">Assumptions!$C$36+(Assumptions!$C$37-Assumptions!$C$36)*4/11</f>
        <v>0.270909090909091</v>
      </c>
      <c r="H51" s="36" t="n">
        <f aca="false">Assumptions!$C$36+(Assumptions!$C$37-Assumptions!$C$36)*5/11</f>
        <v>0.263636363636364</v>
      </c>
      <c r="I51" s="36" t="n">
        <f aca="false">Assumptions!$C$36+(Assumptions!$C$37-Assumptions!$C$36)*6/11</f>
        <v>0.256363636363636</v>
      </c>
      <c r="J51" s="36" t="n">
        <f aca="false">Assumptions!$C$36+(Assumptions!$C$37-Assumptions!$C$36)*7/11</f>
        <v>0.249090909090909</v>
      </c>
      <c r="K51" s="36" t="n">
        <f aca="false">Assumptions!$C$36+(Assumptions!$C$37-Assumptions!$C$36)*8/11</f>
        <v>0.241818181818182</v>
      </c>
      <c r="L51" s="36" t="n">
        <f aca="false">Assumptions!$C$36+(Assumptions!$C$37-Assumptions!$C$36)*9/11</f>
        <v>0.234545454545455</v>
      </c>
      <c r="M51" s="36" t="n">
        <f aca="false">Assumptions!$C$36+(Assumptions!$C$37-Assumptions!$C$36)*10/11</f>
        <v>0.227272727272727</v>
      </c>
      <c r="N51" s="36" t="n">
        <f aca="false">Assumptions!$C$36+(Assumptions!$C$37-Assumptions!$C$36)*11/11</f>
        <v>0.22</v>
      </c>
    </row>
    <row r="52" customFormat="false" ht="15" hidden="false" customHeight="false" outlineLevel="0" collapsed="false">
      <c r="A52" s="14" t="s">
        <v>98</v>
      </c>
      <c r="B52" s="6" t="s">
        <v>94</v>
      </c>
      <c r="C52" s="36" t="n">
        <f aca="false">Assumptions!$C$38+(Assumptions!$C$39-Assumptions!$C$38)*0/11</f>
        <v>0.14</v>
      </c>
      <c r="D52" s="36" t="n">
        <f aca="false">Assumptions!$C$38+(Assumptions!$C$39-Assumptions!$C$38)*1/11</f>
        <v>0.136363636363636</v>
      </c>
      <c r="E52" s="36" t="n">
        <f aca="false">Assumptions!$C$38+(Assumptions!$C$39-Assumptions!$C$38)*2/11</f>
        <v>0.132727272727273</v>
      </c>
      <c r="F52" s="36" t="n">
        <f aca="false">Assumptions!$C$38+(Assumptions!$C$39-Assumptions!$C$38)*3/11</f>
        <v>0.129090909090909</v>
      </c>
      <c r="G52" s="36" t="n">
        <f aca="false">Assumptions!$C$38+(Assumptions!$C$39-Assumptions!$C$38)*4/11</f>
        <v>0.125454545454545</v>
      </c>
      <c r="H52" s="36" t="n">
        <f aca="false">Assumptions!$C$38+(Assumptions!$C$39-Assumptions!$C$38)*5/11</f>
        <v>0.121818181818182</v>
      </c>
      <c r="I52" s="36" t="n">
        <f aca="false">Assumptions!$C$38+(Assumptions!$C$39-Assumptions!$C$38)*6/11</f>
        <v>0.118181818181818</v>
      </c>
      <c r="J52" s="36" t="n">
        <f aca="false">Assumptions!$C$38+(Assumptions!$C$39-Assumptions!$C$38)*7/11</f>
        <v>0.114545454545455</v>
      </c>
      <c r="K52" s="36" t="n">
        <f aca="false">Assumptions!$C$38+(Assumptions!$C$39-Assumptions!$C$38)*8/11</f>
        <v>0.110909090909091</v>
      </c>
      <c r="L52" s="36" t="n">
        <f aca="false">Assumptions!$C$38+(Assumptions!$C$39-Assumptions!$C$38)*9/11</f>
        <v>0.107272727272727</v>
      </c>
      <c r="M52" s="36" t="n">
        <f aca="false">Assumptions!$C$38+(Assumptions!$C$39-Assumptions!$C$38)*10/11</f>
        <v>0.103636363636364</v>
      </c>
      <c r="N52" s="36" t="n">
        <f aca="false">Assumptions!$C$38+(Assumptions!$C$39-Assumptions!$C$38)*11/11</f>
        <v>0.1</v>
      </c>
    </row>
    <row r="54" customFormat="false" ht="15" hidden="false" customHeight="false" outlineLevel="0" collapsed="false">
      <c r="A54" s="4" t="s">
        <v>99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</sheetData>
  <mergeCells count="2">
    <mergeCell ref="A1:P1"/>
    <mergeCell ref="A54:O54"/>
  </mergeCells>
  <dataValidations count="1">
    <dataValidation allowBlank="false" error="Pick Base, Upside, or Downside" errorStyle="stop" errorTitle="Invalid scenario" operator="between" prompt="Select a scenario from the dropdown" promptTitle="Scenario" showDropDown="false" showErrorMessage="false" showInputMessage="false" sqref="C3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16" min="3" style="0" width="12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4" t="s">
        <v>101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customFormat="false" ht="15" hidden="false" customHeight="false" outlineLevel="0" collapsed="false">
      <c r="A5" s="7" t="s">
        <v>102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customFormat="false" ht="15" hidden="false" customHeight="false" outlineLevel="0" collapsed="false">
      <c r="A6" s="11"/>
      <c r="B6" s="6" t="s">
        <v>75</v>
      </c>
      <c r="C6" s="31" t="s">
        <v>76</v>
      </c>
      <c r="D6" s="10" t="s">
        <v>77</v>
      </c>
      <c r="E6" s="10" t="s">
        <v>78</v>
      </c>
      <c r="F6" s="10" t="s">
        <v>79</v>
      </c>
      <c r="G6" s="31" t="s">
        <v>80</v>
      </c>
      <c r="H6" s="10" t="s">
        <v>81</v>
      </c>
      <c r="I6" s="10" t="s">
        <v>82</v>
      </c>
      <c r="J6" s="10" t="s">
        <v>83</v>
      </c>
      <c r="K6" s="31" t="s">
        <v>84</v>
      </c>
      <c r="L6" s="10" t="s">
        <v>85</v>
      </c>
      <c r="M6" s="10" t="s">
        <v>86</v>
      </c>
      <c r="N6" s="10" t="s">
        <v>87</v>
      </c>
      <c r="O6" s="10" t="s">
        <v>88</v>
      </c>
    </row>
    <row r="7" customFormat="false" ht="15" hidden="false" customHeight="false" outlineLevel="0" collapsed="false">
      <c r="A7" s="14" t="s">
        <v>103</v>
      </c>
      <c r="C7" s="37" t="n">
        <f aca="false">Assumptions!$C$26</f>
        <v>150</v>
      </c>
      <c r="D7" s="32" t="n">
        <f aca="false">C10</f>
        <v>191.905554200334</v>
      </c>
      <c r="E7" s="32" t="n">
        <f aca="false">D10</f>
        <v>238.346611959482</v>
      </c>
      <c r="F7" s="32" t="n">
        <f aca="false">E10</f>
        <v>289.877607477864</v>
      </c>
      <c r="G7" s="32" t="n">
        <f aca="false">F10</f>
        <v>347.119297178683</v>
      </c>
      <c r="H7" s="32" t="n">
        <f aca="false">G10</f>
        <v>408.870069904432</v>
      </c>
      <c r="I7" s="32" t="n">
        <f aca="false">H10</f>
        <v>475.549001157599</v>
      </c>
      <c r="J7" s="32" t="n">
        <f aca="false">I10</f>
        <v>547.612609727522</v>
      </c>
      <c r="K7" s="32" t="n">
        <f aca="false">J10</f>
        <v>625.558233228586</v>
      </c>
      <c r="L7" s="32" t="n">
        <f aca="false">K10</f>
        <v>708.142853845096</v>
      </c>
      <c r="M7" s="32" t="n">
        <f aca="false">L10</f>
        <v>795.708059844259</v>
      </c>
      <c r="N7" s="32" t="n">
        <f aca="false">M10</f>
        <v>888.619002887857</v>
      </c>
    </row>
    <row r="8" customFormat="false" ht="15" hidden="false" customHeight="false" outlineLevel="0" collapsed="false">
      <c r="A8" s="14" t="s">
        <v>104</v>
      </c>
      <c r="C8" s="37" t="n">
        <f aca="false">Assumptions!C46</f>
        <v>45</v>
      </c>
      <c r="D8" s="37" t="n">
        <f aca="false">Assumptions!D46</f>
        <v>50.4</v>
      </c>
      <c r="E8" s="37" t="n">
        <f aca="false">Assumptions!E46</f>
        <v>56.448</v>
      </c>
      <c r="F8" s="37" t="n">
        <f aca="false">Assumptions!F46</f>
        <v>63.22176</v>
      </c>
      <c r="G8" s="37" t="n">
        <f aca="false">Assumptions!G46</f>
        <v>68.9117184</v>
      </c>
      <c r="H8" s="37" t="n">
        <f aca="false">Assumptions!H46</f>
        <v>75.113773056</v>
      </c>
      <c r="I8" s="37" t="n">
        <f aca="false">Assumptions!I46</f>
        <v>81.87401263104</v>
      </c>
      <c r="J8" s="37" t="n">
        <f aca="false">Assumptions!J46</f>
        <v>89.2426737678336</v>
      </c>
      <c r="K8" s="37" t="n">
        <f aca="false">Assumptions!K46</f>
        <v>95.489660931582</v>
      </c>
      <c r="L8" s="37" t="n">
        <f aca="false">Assumptions!L46</f>
        <v>102.173937196793</v>
      </c>
      <c r="M8" s="37" t="n">
        <f aca="false">Assumptions!M46</f>
        <v>109.326112800568</v>
      </c>
      <c r="N8" s="37" t="n">
        <f aca="false">Assumptions!N46</f>
        <v>116.978940696608</v>
      </c>
      <c r="O8" s="33" t="n">
        <f aca="false">SUM(C8:N8)</f>
        <v>954.180589480425</v>
      </c>
    </row>
    <row r="9" customFormat="false" ht="15" hidden="false" customHeight="false" outlineLevel="0" collapsed="false">
      <c r="A9" s="14" t="s">
        <v>105</v>
      </c>
      <c r="C9" s="32" t="n">
        <f aca="false">-C7*Assumptions!C48</f>
        <v>-3.0944457996661</v>
      </c>
      <c r="D9" s="32" t="n">
        <f aca="false">-D7*Assumptions!D48</f>
        <v>-3.95894224085212</v>
      </c>
      <c r="E9" s="32" t="n">
        <f aca="false">-E7*Assumptions!E48</f>
        <v>-4.91700448161776</v>
      </c>
      <c r="F9" s="32" t="n">
        <f aca="false">-F7*Assumptions!F48</f>
        <v>-5.9800702991809</v>
      </c>
      <c r="G9" s="32" t="n">
        <f aca="false">-G7*Assumptions!G48</f>
        <v>-7.16094567425084</v>
      </c>
      <c r="H9" s="32" t="n">
        <f aca="false">-H7*Assumptions!H48</f>
        <v>-8.43484180283304</v>
      </c>
      <c r="I9" s="32" t="n">
        <f aca="false">-I7*Assumptions!I48</f>
        <v>-9.81040406111695</v>
      </c>
      <c r="J9" s="32" t="n">
        <f aca="false">-J7*Assumptions!J48</f>
        <v>-11.2970502667702</v>
      </c>
      <c r="K9" s="32" t="n">
        <f aca="false">-K7*Assumptions!K48</f>
        <v>-12.9050403150716</v>
      </c>
      <c r="L9" s="32" t="n">
        <f aca="false">-L7*Assumptions!L48</f>
        <v>-14.6087311976302</v>
      </c>
      <c r="M9" s="32" t="n">
        <f aca="false">-M7*Assumptions!M48</f>
        <v>-16.4151697569702</v>
      </c>
      <c r="N9" s="32" t="n">
        <f aca="false">-N7*Assumptions!N48</f>
        <v>-18.3318889399321</v>
      </c>
      <c r="O9" s="33" t="n">
        <f aca="false">SUM(C9:N9)</f>
        <v>-116.914534835892</v>
      </c>
    </row>
    <row r="10" customFormat="false" ht="15" hidden="false" customHeight="false" outlineLevel="0" collapsed="false">
      <c r="A10" s="11" t="s">
        <v>33</v>
      </c>
      <c r="C10" s="38" t="n">
        <f aca="false">C7+C8+C9</f>
        <v>191.905554200334</v>
      </c>
      <c r="D10" s="38" t="n">
        <f aca="false">D7+D8+D9</f>
        <v>238.346611959482</v>
      </c>
      <c r="E10" s="38" t="n">
        <f aca="false">E7+E8+E9</f>
        <v>289.877607477864</v>
      </c>
      <c r="F10" s="38" t="n">
        <f aca="false">F7+F8+F9</f>
        <v>347.119297178683</v>
      </c>
      <c r="G10" s="38" t="n">
        <f aca="false">G7+G8+G9</f>
        <v>408.870069904432</v>
      </c>
      <c r="H10" s="38" t="n">
        <f aca="false">H7+H8+H9</f>
        <v>475.549001157599</v>
      </c>
      <c r="I10" s="38" t="n">
        <f aca="false">I7+I8+I9</f>
        <v>547.612609727522</v>
      </c>
      <c r="J10" s="38" t="n">
        <f aca="false">J7+J8+J9</f>
        <v>625.558233228586</v>
      </c>
      <c r="K10" s="38" t="n">
        <f aca="false">K7+K8+K9</f>
        <v>708.142853845096</v>
      </c>
      <c r="L10" s="38" t="n">
        <f aca="false">L7+L8+L9</f>
        <v>795.708059844259</v>
      </c>
      <c r="M10" s="38" t="n">
        <f aca="false">M7+M8+M9</f>
        <v>888.619002887857</v>
      </c>
      <c r="N10" s="38" t="n">
        <f aca="false">N7+N8+N9</f>
        <v>987.266054644533</v>
      </c>
      <c r="O10" s="33" t="n">
        <f aca="false">N10</f>
        <v>987.266054644533</v>
      </c>
    </row>
    <row r="13" customFormat="false" ht="15" hidden="false" customHeight="false" outlineLevel="0" collapsed="false">
      <c r="A13" s="7" t="s">
        <v>106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11"/>
      <c r="B14" s="6" t="s">
        <v>75</v>
      </c>
      <c r="C14" s="31" t="s">
        <v>76</v>
      </c>
      <c r="D14" s="10" t="s">
        <v>77</v>
      </c>
      <c r="E14" s="10" t="s">
        <v>78</v>
      </c>
      <c r="F14" s="10" t="s">
        <v>79</v>
      </c>
      <c r="G14" s="31" t="s">
        <v>80</v>
      </c>
      <c r="H14" s="10" t="s">
        <v>81</v>
      </c>
      <c r="I14" s="10" t="s">
        <v>82</v>
      </c>
      <c r="J14" s="10" t="s">
        <v>83</v>
      </c>
      <c r="K14" s="31" t="s">
        <v>84</v>
      </c>
      <c r="L14" s="10" t="s">
        <v>85</v>
      </c>
      <c r="M14" s="10" t="s">
        <v>86</v>
      </c>
      <c r="N14" s="10" t="s">
        <v>87</v>
      </c>
      <c r="O14" s="10" t="s">
        <v>88</v>
      </c>
    </row>
    <row r="15" customFormat="false" ht="15" hidden="false" customHeight="false" outlineLevel="0" collapsed="false">
      <c r="A15" s="14" t="s">
        <v>107</v>
      </c>
      <c r="C15" s="39" t="n">
        <f aca="false">Assumptions!$C$26*Assumptions!C47/1000</f>
        <v>2100</v>
      </c>
      <c r="D15" s="40" t="n">
        <f aca="false">C19</f>
        <v>2804.67196031741</v>
      </c>
      <c r="E15" s="40" t="n">
        <f aca="false">D19</f>
        <v>3610.00069999558</v>
      </c>
      <c r="F15" s="40" t="n">
        <f aca="false">E19</f>
        <v>4528.63738047933</v>
      </c>
      <c r="G15" s="40" t="n">
        <f aca="false">F19</f>
        <v>5574.77165417794</v>
      </c>
      <c r="H15" s="40" t="n">
        <f aca="false">G19</f>
        <v>6786.00207072431</v>
      </c>
      <c r="I15" s="40" t="n">
        <f aca="false">H19</f>
        <v>8131.47171433273</v>
      </c>
      <c r="J15" s="40" t="n">
        <f aca="false">I19</f>
        <v>9624.15919199701</v>
      </c>
      <c r="K15" s="40" t="n">
        <f aca="false">J19</f>
        <v>11278.2430836571</v>
      </c>
      <c r="L15" s="40" t="n">
        <f aca="false">K19</f>
        <v>13153.1586287041</v>
      </c>
      <c r="M15" s="40" t="n">
        <f aca="false">L19</f>
        <v>15197.9143679896</v>
      </c>
      <c r="N15" s="40" t="n">
        <f aca="false">M19</f>
        <v>17425.7715183967</v>
      </c>
    </row>
    <row r="16" customFormat="false" ht="15" hidden="false" customHeight="false" outlineLevel="0" collapsed="false">
      <c r="A16" s="14" t="s">
        <v>108</v>
      </c>
      <c r="C16" s="40" t="n">
        <f aca="false">Revenue!C8*Assumptions!C47/1000</f>
        <v>630</v>
      </c>
      <c r="D16" s="40" t="n">
        <f aca="false">Revenue!D8*Assumptions!D47/1000</f>
        <v>705.6</v>
      </c>
      <c r="E16" s="40" t="n">
        <f aca="false">Revenue!E8*Assumptions!E47/1000</f>
        <v>790.272</v>
      </c>
      <c r="F16" s="40" t="n">
        <f aca="false">Revenue!F8*Assumptions!F47/1000</f>
        <v>885.10464</v>
      </c>
      <c r="G16" s="40" t="n">
        <f aca="false">Revenue!G8*Assumptions!G47/1000</f>
        <v>1013.00226048</v>
      </c>
      <c r="H16" s="40" t="n">
        <f aca="false">Revenue!H8*Assumptions!H47/1000</f>
        <v>1104.1724639232</v>
      </c>
      <c r="I16" s="40" t="n">
        <f aca="false">Revenue!I8*Assumptions!I47/1000</f>
        <v>1203.54798567629</v>
      </c>
      <c r="J16" s="40" t="n">
        <f aca="false">Revenue!J8*Assumptions!J47/1000</f>
        <v>1311.86730438715</v>
      </c>
      <c r="K16" s="40" t="n">
        <f aca="false">Revenue!K8*Assumptions!K47/1000</f>
        <v>1473.88291647897</v>
      </c>
      <c r="L16" s="40" t="n">
        <f aca="false">Revenue!L8*Assumptions!L47/1000</f>
        <v>1577.0547206325</v>
      </c>
      <c r="M16" s="40" t="n">
        <f aca="false">Revenue!M8*Assumptions!M47/1000</f>
        <v>1687.44855107677</v>
      </c>
      <c r="N16" s="40" t="n">
        <f aca="false">Revenue!N8*Assumptions!N47/1000</f>
        <v>1805.56994965214</v>
      </c>
      <c r="O16" s="41" t="n">
        <f aca="false">SUM(C16:N16)</f>
        <v>14187.522792307</v>
      </c>
    </row>
    <row r="17" customFormat="false" ht="15" hidden="false" customHeight="false" outlineLevel="0" collapsed="false">
      <c r="A17" s="14" t="s">
        <v>109</v>
      </c>
      <c r="C17" s="40" t="n">
        <f aca="false">C15*Assumptions!C49</f>
        <v>117.994201512732</v>
      </c>
      <c r="D17" s="40" t="n">
        <f aca="false">D15*Assumptions!D49</f>
        <v>157.58810879181</v>
      </c>
      <c r="E17" s="40" t="n">
        <f aca="false">E15*Assumptions!E49</f>
        <v>202.837690503039</v>
      </c>
      <c r="F17" s="40" t="n">
        <f aca="false">F15*Assumptions!F49</f>
        <v>254.453786500175</v>
      </c>
      <c r="G17" s="40" t="n">
        <f aca="false">G15*Assumptions!G49</f>
        <v>313.233680928827</v>
      </c>
      <c r="H17" s="40" t="n">
        <f aca="false">H15*Assumptions!H49</f>
        <v>381.28995038041</v>
      </c>
      <c r="I17" s="40" t="n">
        <f aca="false">I15*Assumptions!I49</f>
        <v>456.888815264788</v>
      </c>
      <c r="J17" s="40" t="n">
        <f aca="false">J15*Assumptions!J49</f>
        <v>540.759513852907</v>
      </c>
      <c r="K17" s="40" t="n">
        <f aca="false">K15*Assumptions!K49</f>
        <v>633.698708153625</v>
      </c>
      <c r="L17" s="40" t="n">
        <f aca="false">L15*Assumptions!L49</f>
        <v>739.045928459163</v>
      </c>
      <c r="M17" s="40" t="n">
        <f aca="false">M15*Assumptions!M49</f>
        <v>853.936081195144</v>
      </c>
      <c r="N17" s="40" t="n">
        <f aca="false">N15*Assumptions!N49</f>
        <v>979.114283836442</v>
      </c>
      <c r="O17" s="41" t="n">
        <f aca="false">SUM(C17:N17)</f>
        <v>5630.84074937906</v>
      </c>
    </row>
    <row r="18" customFormat="false" ht="15" hidden="false" customHeight="false" outlineLevel="0" collapsed="false">
      <c r="A18" s="14" t="s">
        <v>110</v>
      </c>
      <c r="C18" s="40" t="n">
        <f aca="false">-C15*Assumptions!C48</f>
        <v>-43.3222411953254</v>
      </c>
      <c r="D18" s="40" t="n">
        <f aca="false">-D15*Assumptions!D48</f>
        <v>-57.8593691136366</v>
      </c>
      <c r="E18" s="40" t="n">
        <f aca="false">-E15*Assumptions!E48</f>
        <v>-74.4730100192867</v>
      </c>
      <c r="F18" s="40" t="n">
        <f aca="false">-F15*Assumptions!F48</f>
        <v>-93.4241528015678</v>
      </c>
      <c r="G18" s="40" t="n">
        <f aca="false">-G15*Assumptions!G48</f>
        <v>-115.005524862457</v>
      </c>
      <c r="H18" s="40" t="n">
        <f aca="false">-H15*Assumptions!H48</f>
        <v>-139.992770695189</v>
      </c>
      <c r="I18" s="40" t="n">
        <f aca="false">-I15*Assumptions!I48</f>
        <v>-167.749323276804</v>
      </c>
      <c r="J18" s="40" t="n">
        <f aca="false">-J15*Assumptions!J48</f>
        <v>-198.542926579954</v>
      </c>
      <c r="K18" s="40" t="n">
        <f aca="false">-K15*Assumptions!K48</f>
        <v>-232.666079585573</v>
      </c>
      <c r="L18" s="40" t="n">
        <f aca="false">-L15*Assumptions!L48</f>
        <v>-271.344909806236</v>
      </c>
      <c r="M18" s="40" t="n">
        <f aca="false">-M15*Assumptions!M48</f>
        <v>-313.527481864736</v>
      </c>
      <c r="N18" s="40" t="n">
        <f aca="false">-N15*Assumptions!N48</f>
        <v>-359.487369873626</v>
      </c>
      <c r="O18" s="41" t="n">
        <f aca="false">SUM(C18:N18)</f>
        <v>-2067.39515967439</v>
      </c>
    </row>
    <row r="19" customFormat="false" ht="15" hidden="false" customHeight="false" outlineLevel="0" collapsed="false">
      <c r="A19" s="11" t="s">
        <v>111</v>
      </c>
      <c r="C19" s="42" t="n">
        <f aca="false">C15+C16+C17+C18</f>
        <v>2804.67196031741</v>
      </c>
      <c r="D19" s="42" t="n">
        <f aca="false">D15+D16+D17+D18</f>
        <v>3610.00069999558</v>
      </c>
      <c r="E19" s="42" t="n">
        <f aca="false">E15+E16+E17+E18</f>
        <v>4528.63738047933</v>
      </c>
      <c r="F19" s="42" t="n">
        <f aca="false">F15+F16+F17+F18</f>
        <v>5574.77165417794</v>
      </c>
      <c r="G19" s="42" t="n">
        <f aca="false">G15+G16+G17+G18</f>
        <v>6786.00207072431</v>
      </c>
      <c r="H19" s="42" t="n">
        <f aca="false">H15+H16+H17+H18</f>
        <v>8131.47171433273</v>
      </c>
      <c r="I19" s="42" t="n">
        <f aca="false">I15+I16+I17+I18</f>
        <v>9624.15919199701</v>
      </c>
      <c r="J19" s="42" t="n">
        <f aca="false">J15+J16+J17+J18</f>
        <v>11278.2430836571</v>
      </c>
      <c r="K19" s="42" t="n">
        <f aca="false">K15+K16+K17+K18</f>
        <v>13153.1586287041</v>
      </c>
      <c r="L19" s="42" t="n">
        <f aca="false">L15+L16+L17+L18</f>
        <v>15197.9143679896</v>
      </c>
      <c r="M19" s="42" t="n">
        <f aca="false">M15+M16+M17+M18</f>
        <v>17425.7715183967</v>
      </c>
      <c r="N19" s="42" t="n">
        <f aca="false">N15+N16+N17+N18</f>
        <v>19850.9683820117</v>
      </c>
      <c r="O19" s="41" t="n">
        <f aca="false">N19</f>
        <v>19850.9683820117</v>
      </c>
    </row>
    <row r="20" customFormat="false" ht="15" hidden="false" customHeight="false" outlineLevel="0" collapsed="false">
      <c r="A20" s="14" t="s">
        <v>112</v>
      </c>
      <c r="C20" s="40" t="n">
        <f aca="false">C19/12</f>
        <v>233.722663359784</v>
      </c>
      <c r="D20" s="40" t="n">
        <f aca="false">D19/12</f>
        <v>300.833391666298</v>
      </c>
      <c r="E20" s="40" t="n">
        <f aca="false">E19/12</f>
        <v>377.386448373278</v>
      </c>
      <c r="F20" s="40" t="n">
        <f aca="false">F19/12</f>
        <v>464.564304514828</v>
      </c>
      <c r="G20" s="40" t="n">
        <f aca="false">G19/12</f>
        <v>565.500172560359</v>
      </c>
      <c r="H20" s="40" t="n">
        <f aca="false">H19/12</f>
        <v>677.622642861061</v>
      </c>
      <c r="I20" s="40" t="n">
        <f aca="false">I19/12</f>
        <v>802.01326599975</v>
      </c>
      <c r="J20" s="40" t="n">
        <f aca="false">J19/12</f>
        <v>939.85359030476</v>
      </c>
      <c r="K20" s="40" t="n">
        <f aca="false">K19/12</f>
        <v>1096.09655239201</v>
      </c>
      <c r="L20" s="40" t="n">
        <f aca="false">L19/12</f>
        <v>1266.49286399913</v>
      </c>
      <c r="M20" s="40" t="n">
        <f aca="false">M19/12</f>
        <v>1452.14762653306</v>
      </c>
      <c r="N20" s="40" t="n">
        <f aca="false">N19/12</f>
        <v>1654.24736516764</v>
      </c>
    </row>
    <row r="21" customFormat="false" ht="15" hidden="false" customHeight="false" outlineLevel="0" collapsed="false">
      <c r="A21" s="11" t="s">
        <v>113</v>
      </c>
      <c r="C21" s="41" t="n">
        <f aca="false">AVERAGE(C15,C19)/4</f>
        <v>613.083995039676</v>
      </c>
      <c r="D21" s="41" t="n">
        <f aca="false">AVERAGE(D15,D19)/4</f>
        <v>801.834082539123</v>
      </c>
      <c r="E21" s="41" t="n">
        <f aca="false">AVERAGE(E15,E19)/4</f>
        <v>1017.32976005936</v>
      </c>
      <c r="F21" s="41" t="n">
        <f aca="false">AVERAGE(F15,F19)/4</f>
        <v>1262.92612933216</v>
      </c>
      <c r="G21" s="41" t="n">
        <f aca="false">AVERAGE(G15,G19)/4</f>
        <v>1545.09671561278</v>
      </c>
      <c r="H21" s="41" t="n">
        <f aca="false">AVERAGE(H15,H19)/4</f>
        <v>1864.68422313213</v>
      </c>
      <c r="I21" s="41" t="n">
        <f aca="false">AVERAGE(I15,I19)/4</f>
        <v>2219.45386329122</v>
      </c>
      <c r="J21" s="41" t="n">
        <f aca="false">AVERAGE(J15,J19)/4</f>
        <v>2612.80028445676</v>
      </c>
      <c r="K21" s="41" t="n">
        <f aca="false">AVERAGE(K15,K19)/4</f>
        <v>3053.92521404516</v>
      </c>
      <c r="L21" s="41" t="n">
        <f aca="false">AVERAGE(L15,L19)/4</f>
        <v>3543.88412458671</v>
      </c>
      <c r="M21" s="41" t="n">
        <f aca="false">AVERAGE(M15,M19)/4</f>
        <v>4077.96073579829</v>
      </c>
      <c r="N21" s="41" t="n">
        <f aca="false">AVERAGE(N15,N19)/4</f>
        <v>4659.59248755106</v>
      </c>
      <c r="O21" s="41" t="n">
        <f aca="false">SUM(C21:N21)</f>
        <v>27272.5716154444</v>
      </c>
    </row>
    <row r="22" customFormat="false" ht="15" hidden="false" customHeight="false" outlineLevel="0" collapsed="false">
      <c r="A22" s="6" t="s">
        <v>114</v>
      </c>
      <c r="C22" s="34" t="n">
        <f aca="false">C21*1000</f>
        <v>613083.995039676</v>
      </c>
      <c r="D22" s="34" t="n">
        <f aca="false">D21*1000</f>
        <v>801834.082539123</v>
      </c>
      <c r="E22" s="34" t="n">
        <f aca="false">E21*1000</f>
        <v>1017329.76005936</v>
      </c>
      <c r="F22" s="34" t="n">
        <f aca="false">F21*1000</f>
        <v>1262926.12933216</v>
      </c>
      <c r="G22" s="34" t="n">
        <f aca="false">G21*1000</f>
        <v>1545096.71561278</v>
      </c>
      <c r="H22" s="34" t="n">
        <f aca="false">H21*1000</f>
        <v>1864684.22313213</v>
      </c>
      <c r="I22" s="34" t="n">
        <f aca="false">I21*1000</f>
        <v>2219453.86329122</v>
      </c>
      <c r="J22" s="34" t="n">
        <f aca="false">J21*1000</f>
        <v>2612800.28445676</v>
      </c>
      <c r="K22" s="34" t="n">
        <f aca="false">K21*1000</f>
        <v>3053925.21404516</v>
      </c>
      <c r="L22" s="34" t="n">
        <f aca="false">L21*1000</f>
        <v>3543884.12458671</v>
      </c>
      <c r="M22" s="34" t="n">
        <f aca="false">M21*1000</f>
        <v>4077960.73579829</v>
      </c>
      <c r="N22" s="34" t="n">
        <f aca="false">N21*1000</f>
        <v>4659592.48755106</v>
      </c>
      <c r="O22" s="35" t="n">
        <f aca="false">SUM(C22:N22)</f>
        <v>27272571.6154444</v>
      </c>
    </row>
  </sheetData>
  <mergeCells count="2">
    <mergeCell ref="A1:P1"/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16" min="3" style="0" width="12"/>
  </cols>
  <sheetData>
    <row r="1" customFormat="false" ht="27.7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7" t="s">
        <v>116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customFormat="false" ht="15" hidden="false" customHeight="false" outlineLevel="0" collapsed="false">
      <c r="A4" s="11"/>
      <c r="B4" s="6" t="s">
        <v>75</v>
      </c>
      <c r="C4" s="31" t="s">
        <v>76</v>
      </c>
      <c r="D4" s="10" t="s">
        <v>77</v>
      </c>
      <c r="E4" s="10" t="s">
        <v>78</v>
      </c>
      <c r="F4" s="10" t="s">
        <v>79</v>
      </c>
      <c r="G4" s="31" t="s">
        <v>80</v>
      </c>
      <c r="H4" s="10" t="s">
        <v>81</v>
      </c>
      <c r="I4" s="10" t="s">
        <v>82</v>
      </c>
      <c r="J4" s="10" t="s">
        <v>83</v>
      </c>
      <c r="K4" s="31" t="s">
        <v>84</v>
      </c>
      <c r="L4" s="10" t="s">
        <v>85</v>
      </c>
      <c r="M4" s="10" t="s">
        <v>86</v>
      </c>
      <c r="N4" s="10" t="s">
        <v>87</v>
      </c>
      <c r="O4" s="10" t="s">
        <v>88</v>
      </c>
    </row>
    <row r="5" customFormat="false" ht="15" hidden="false" customHeight="false" outlineLevel="0" collapsed="false">
      <c r="A5" s="14" t="s">
        <v>117</v>
      </c>
      <c r="C5" s="43" t="n">
        <f aca="false">Revenue!C22</f>
        <v>613083.995039676</v>
      </c>
      <c r="D5" s="43" t="n">
        <f aca="false">Revenue!D22</f>
        <v>801834.082539123</v>
      </c>
      <c r="E5" s="43" t="n">
        <f aca="false">Revenue!E22</f>
        <v>1017329.76005936</v>
      </c>
      <c r="F5" s="43" t="n">
        <f aca="false">Revenue!F22</f>
        <v>1262926.12933216</v>
      </c>
      <c r="G5" s="43" t="n">
        <f aca="false">Revenue!G22</f>
        <v>1545096.71561278</v>
      </c>
      <c r="H5" s="43" t="n">
        <f aca="false">Revenue!H22</f>
        <v>1864684.22313213</v>
      </c>
      <c r="I5" s="43" t="n">
        <f aca="false">Revenue!I22</f>
        <v>2219453.86329122</v>
      </c>
      <c r="J5" s="43" t="n">
        <f aca="false">Revenue!J22</f>
        <v>2612800.28445676</v>
      </c>
      <c r="K5" s="43" t="n">
        <f aca="false">Revenue!K22</f>
        <v>3053925.21404516</v>
      </c>
      <c r="L5" s="43" t="n">
        <f aca="false">Revenue!L22</f>
        <v>3543884.12458671</v>
      </c>
      <c r="M5" s="43" t="n">
        <f aca="false">Revenue!M22</f>
        <v>4077960.73579829</v>
      </c>
      <c r="N5" s="43" t="n">
        <f aca="false">Revenue!N22</f>
        <v>4659592.48755106</v>
      </c>
      <c r="O5" s="35" t="n">
        <f aca="false">SUM(C5:N5)</f>
        <v>27272571.6154444</v>
      </c>
    </row>
    <row r="6" customFormat="false" ht="15" hidden="false" customHeight="false" outlineLevel="0" collapsed="false">
      <c r="A6" s="14" t="s">
        <v>118</v>
      </c>
      <c r="C6" s="34" t="n">
        <f aca="false">-C5*(1-Assumptions!$C$33)</f>
        <v>-134878.478908729</v>
      </c>
      <c r="D6" s="34" t="n">
        <f aca="false">-D5*(1-Assumptions!$C$33)</f>
        <v>-176403.498158607</v>
      </c>
      <c r="E6" s="34" t="n">
        <f aca="false">-E5*(1-Assumptions!$C$33)</f>
        <v>-223812.54721306</v>
      </c>
      <c r="F6" s="34" t="n">
        <f aca="false">-F5*(1-Assumptions!$C$33)</f>
        <v>-277843.748453075</v>
      </c>
      <c r="G6" s="34" t="n">
        <f aca="false">-G5*(1-Assumptions!$C$33)</f>
        <v>-339921.277434812</v>
      </c>
      <c r="H6" s="34" t="n">
        <f aca="false">-H5*(1-Assumptions!$C$33)</f>
        <v>-410230.529089069</v>
      </c>
      <c r="I6" s="34" t="n">
        <f aca="false">-I5*(1-Assumptions!$C$33)</f>
        <v>-488279.849924068</v>
      </c>
      <c r="J6" s="34" t="n">
        <f aca="false">-J5*(1-Assumptions!$C$33)</f>
        <v>-574816.062580488</v>
      </c>
      <c r="K6" s="34" t="n">
        <f aca="false">-K5*(1-Assumptions!$C$33)</f>
        <v>-671863.547089934</v>
      </c>
      <c r="L6" s="34" t="n">
        <f aca="false">-L5*(1-Assumptions!$C$33)</f>
        <v>-779654.507409076</v>
      </c>
      <c r="M6" s="34" t="n">
        <f aca="false">-M5*(1-Assumptions!$C$33)</f>
        <v>-897151.361875623</v>
      </c>
      <c r="N6" s="34" t="n">
        <f aca="false">-N5*(1-Assumptions!$C$33)</f>
        <v>-1025110.34726123</v>
      </c>
      <c r="O6" s="35" t="n">
        <f aca="false">SUM(C6:N6)</f>
        <v>-5999965.75539777</v>
      </c>
    </row>
    <row r="7" customFormat="false" ht="15" hidden="false" customHeight="false" outlineLevel="0" collapsed="false">
      <c r="A7" s="11" t="s">
        <v>119</v>
      </c>
      <c r="C7" s="44" t="n">
        <f aca="false">C5+C6</f>
        <v>478205.516130947</v>
      </c>
      <c r="D7" s="44" t="n">
        <f aca="false">D5+D6</f>
        <v>625430.584380516</v>
      </c>
      <c r="E7" s="44" t="n">
        <f aca="false">E5+E6</f>
        <v>793517.212846304</v>
      </c>
      <c r="F7" s="44" t="n">
        <f aca="false">F5+F6</f>
        <v>985082.380879084</v>
      </c>
      <c r="G7" s="44" t="n">
        <f aca="false">G5+G6</f>
        <v>1205175.43817797</v>
      </c>
      <c r="H7" s="44" t="n">
        <f aca="false">H5+H6</f>
        <v>1454453.69404306</v>
      </c>
      <c r="I7" s="44" t="n">
        <f aca="false">I5+I6</f>
        <v>1731174.01336715</v>
      </c>
      <c r="J7" s="44" t="n">
        <f aca="false">J5+J6</f>
        <v>2037984.22187628</v>
      </c>
      <c r="K7" s="44" t="n">
        <f aca="false">K5+K6</f>
        <v>2382061.66695522</v>
      </c>
      <c r="L7" s="44" t="n">
        <f aca="false">L5+L6</f>
        <v>2764229.61717763</v>
      </c>
      <c r="M7" s="44" t="n">
        <f aca="false">M5+M6</f>
        <v>3180809.37392266</v>
      </c>
      <c r="N7" s="44" t="n">
        <f aca="false">N5+N6</f>
        <v>3634482.14028982</v>
      </c>
      <c r="O7" s="35" t="n">
        <f aca="false">SUM(C7:N7)</f>
        <v>21272605.8600467</v>
      </c>
    </row>
    <row r="8" customFormat="false" ht="15" hidden="false" customHeight="false" outlineLevel="0" collapsed="false">
      <c r="A8" s="6" t="s">
        <v>120</v>
      </c>
      <c r="C8" s="45" t="n">
        <f aca="false">IFERROR(C7/C5,0)</f>
        <v>0.78</v>
      </c>
      <c r="D8" s="45" t="n">
        <f aca="false">IFERROR(D7/D5,0)</f>
        <v>0.78</v>
      </c>
      <c r="E8" s="45" t="n">
        <f aca="false">IFERROR(E7/E5,0)</f>
        <v>0.78</v>
      </c>
      <c r="F8" s="45" t="n">
        <f aca="false">IFERROR(F7/F5,0)</f>
        <v>0.78</v>
      </c>
      <c r="G8" s="45" t="n">
        <f aca="false">IFERROR(G7/G5,0)</f>
        <v>0.78</v>
      </c>
      <c r="H8" s="45" t="n">
        <f aca="false">IFERROR(H7/H5,0)</f>
        <v>0.78</v>
      </c>
      <c r="I8" s="45" t="n">
        <f aca="false">IFERROR(I7/I5,0)</f>
        <v>0.78</v>
      </c>
      <c r="J8" s="45" t="n">
        <f aca="false">IFERROR(J7/J5,0)</f>
        <v>0.78</v>
      </c>
      <c r="K8" s="45" t="n">
        <f aca="false">IFERROR(K7/K5,0)</f>
        <v>0.78</v>
      </c>
      <c r="L8" s="45" t="n">
        <f aca="false">IFERROR(L7/L5,0)</f>
        <v>0.78</v>
      </c>
      <c r="M8" s="45" t="n">
        <f aca="false">IFERROR(M7/M5,0)</f>
        <v>0.78</v>
      </c>
      <c r="N8" s="45" t="n">
        <f aca="false">IFERROR(N7/N5,0)</f>
        <v>0.78</v>
      </c>
      <c r="O8" s="45" t="n">
        <f aca="false">IFERROR(O7/O5,0)</f>
        <v>0.78</v>
      </c>
    </row>
    <row r="9" customFormat="false" ht="15" hidden="false" customHeight="false" outlineLevel="0" collapsed="false">
      <c r="A9" s="14" t="s">
        <v>121</v>
      </c>
      <c r="C9" s="34" t="n">
        <f aca="false">-C5*Assumptions!C50</f>
        <v>-294280.317619044</v>
      </c>
      <c r="D9" s="34" t="n">
        <f aca="false">-D5*Assumptions!D50</f>
        <v>-374675.198568281</v>
      </c>
      <c r="E9" s="34" t="n">
        <f aca="false">-E5*Assumptions!E50</f>
        <v>-462422.618208802</v>
      </c>
      <c r="F9" s="34" t="n">
        <f aca="false">-F5*Assumptions!F50</f>
        <v>-557983.726232208</v>
      </c>
      <c r="G9" s="34" t="n">
        <f aca="false">-G5*Assumptions!G50</f>
        <v>-662986.954335666</v>
      </c>
      <c r="H9" s="34" t="n">
        <f aca="false">-H5*Assumptions!H50</f>
        <v>-776386.703813196</v>
      </c>
      <c r="I9" s="34" t="n">
        <f aca="false">-I5*Assumptions!I50</f>
        <v>-895852.286637546</v>
      </c>
      <c r="J9" s="34" t="n">
        <f aca="false">-J5*Assumptions!J50</f>
        <v>-1021367.38392401</v>
      </c>
      <c r="K9" s="34" t="n">
        <f aca="false">-K5*Assumptions!K50</f>
        <v>-1154938.9900389</v>
      </c>
      <c r="L9" s="34" t="n">
        <f aca="false">-L5*Assumptions!L50</f>
        <v>-1295128.56189442</v>
      </c>
      <c r="M9" s="34" t="n">
        <f aca="false">-M5*Assumptions!M50</f>
        <v>-1438407.96862703</v>
      </c>
      <c r="N9" s="34" t="n">
        <f aca="false">-N5*Assumptions!N50</f>
        <v>-1584261.44576736</v>
      </c>
      <c r="O9" s="35" t="n">
        <f aca="false">SUM(C9:N9)</f>
        <v>-10518692.1556665</v>
      </c>
    </row>
    <row r="10" customFormat="false" ht="15" hidden="false" customHeight="false" outlineLevel="0" collapsed="false">
      <c r="A10" s="14" t="s">
        <v>122</v>
      </c>
      <c r="C10" s="34" t="n">
        <f aca="false">-C5*Assumptions!C51</f>
        <v>-183925.198511903</v>
      </c>
      <c r="D10" s="34" t="n">
        <f aca="false">-D5*Assumptions!D51</f>
        <v>-234718.704161452</v>
      </c>
      <c r="E10" s="34" t="n">
        <f aca="false">-E5*Assumptions!E51</f>
        <v>-290401.404235128</v>
      </c>
      <c r="F10" s="34" t="n">
        <f aca="false">-F5*Assumptions!F51</f>
        <v>-351323.086886946</v>
      </c>
      <c r="G10" s="34" t="n">
        <f aca="false">-G5*Assumptions!G51</f>
        <v>-418580.746593281</v>
      </c>
      <c r="H10" s="34" t="n">
        <f aca="false">-H5*Assumptions!H51</f>
        <v>-491598.567916653</v>
      </c>
      <c r="I10" s="34" t="n">
        <f aca="false">-I5*Assumptions!I51</f>
        <v>-568987.263134657</v>
      </c>
      <c r="J10" s="34" t="n">
        <f aca="false">-J5*Assumptions!J51</f>
        <v>-650824.798128321</v>
      </c>
      <c r="K10" s="34" t="n">
        <f aca="false">-K5*Assumptions!K51</f>
        <v>-738494.642669101</v>
      </c>
      <c r="L10" s="34" t="n">
        <f aca="false">-L5*Assumptions!L51</f>
        <v>-831201.91285761</v>
      </c>
      <c r="M10" s="34" t="n">
        <f aca="false">-M5*Assumptions!M51</f>
        <v>-926809.258135974</v>
      </c>
      <c r="N10" s="34" t="n">
        <f aca="false">-N5*Assumptions!N51</f>
        <v>-1025110.34726123</v>
      </c>
      <c r="O10" s="35" t="n">
        <f aca="false">SUM(C10:N10)</f>
        <v>-6711975.93049226</v>
      </c>
    </row>
    <row r="11" customFormat="false" ht="15" hidden="false" customHeight="false" outlineLevel="0" collapsed="false">
      <c r="A11" s="14" t="s">
        <v>123</v>
      </c>
      <c r="C11" s="34" t="n">
        <f aca="false">-C5*Assumptions!C52</f>
        <v>-85831.7593055546</v>
      </c>
      <c r="D11" s="34" t="n">
        <f aca="false">-D5*Assumptions!D52</f>
        <v>-109341.011255335</v>
      </c>
      <c r="E11" s="34" t="n">
        <f aca="false">-E5*Assumptions!E52</f>
        <v>-135027.40451697</v>
      </c>
      <c r="F11" s="34" t="n">
        <f aca="false">-F5*Assumptions!F52</f>
        <v>-163032.282150151</v>
      </c>
      <c r="G11" s="34" t="n">
        <f aca="false">-G5*Assumptions!G52</f>
        <v>-193839.406140513</v>
      </c>
      <c r="H11" s="34" t="n">
        <f aca="false">-H5*Assumptions!H52</f>
        <v>-227152.441727005</v>
      </c>
      <c r="I11" s="34" t="n">
        <f aca="false">-I5*Assumptions!I52</f>
        <v>-262299.092934417</v>
      </c>
      <c r="J11" s="34" t="n">
        <f aca="false">-J5*Assumptions!J52</f>
        <v>-299284.396219593</v>
      </c>
      <c r="K11" s="34" t="n">
        <f aca="false">-K5*Assumptions!K52</f>
        <v>-338708.069194099</v>
      </c>
      <c r="L11" s="34" t="n">
        <f aca="false">-L5*Assumptions!L52</f>
        <v>-380162.115182938</v>
      </c>
      <c r="M11" s="34" t="n">
        <f aca="false">-M5*Assumptions!M52</f>
        <v>-422625.021710004</v>
      </c>
      <c r="N11" s="34" t="n">
        <f aca="false">-N5*Assumptions!N52</f>
        <v>-465959.248755106</v>
      </c>
      <c r="O11" s="35" t="n">
        <f aca="false">SUM(C11:N11)</f>
        <v>-3083262.24909169</v>
      </c>
    </row>
    <row r="12" customFormat="false" ht="15" hidden="false" customHeight="false" outlineLevel="0" collapsed="false">
      <c r="A12" s="11" t="s">
        <v>124</v>
      </c>
      <c r="C12" s="44" t="n">
        <f aca="false">SUM(C9:C11)</f>
        <v>-564037.275436502</v>
      </c>
      <c r="D12" s="44" t="n">
        <f aca="false">SUM(D9:D11)</f>
        <v>-718734.913985069</v>
      </c>
      <c r="E12" s="44" t="n">
        <f aca="false">SUM(E9:E11)</f>
        <v>-887851.426960899</v>
      </c>
      <c r="F12" s="44" t="n">
        <f aca="false">SUM(F9:F11)</f>
        <v>-1072339.09526931</v>
      </c>
      <c r="G12" s="44" t="n">
        <f aca="false">SUM(G9:G11)</f>
        <v>-1275407.10706946</v>
      </c>
      <c r="H12" s="44" t="n">
        <f aca="false">SUM(H9:H11)</f>
        <v>-1495137.71345685</v>
      </c>
      <c r="I12" s="44" t="n">
        <f aca="false">SUM(I9:I11)</f>
        <v>-1727138.64270662</v>
      </c>
      <c r="J12" s="44" t="n">
        <f aca="false">SUM(J9:J11)</f>
        <v>-1971476.57827192</v>
      </c>
      <c r="K12" s="44" t="n">
        <f aca="false">SUM(K9:K11)</f>
        <v>-2232141.7019021</v>
      </c>
      <c r="L12" s="44" t="n">
        <f aca="false">SUM(L9:L11)</f>
        <v>-2506492.58993496</v>
      </c>
      <c r="M12" s="44" t="n">
        <f aca="false">SUM(M9:M11)</f>
        <v>-2787842.24847301</v>
      </c>
      <c r="N12" s="44" t="n">
        <f aca="false">SUM(N9:N11)</f>
        <v>-3075331.0417837</v>
      </c>
      <c r="O12" s="35" t="n">
        <f aca="false">SUM(C12:N12)</f>
        <v>-20313930.3352504</v>
      </c>
    </row>
    <row r="13" customFormat="false" ht="15" hidden="false" customHeight="false" outlineLevel="0" collapsed="false">
      <c r="A13" s="11" t="s">
        <v>125</v>
      </c>
      <c r="C13" s="46" t="n">
        <f aca="false">C7+C12</f>
        <v>-85831.7593055546</v>
      </c>
      <c r="D13" s="46" t="n">
        <f aca="false">D7+D12</f>
        <v>-93304.3296045526</v>
      </c>
      <c r="E13" s="46" t="n">
        <f aca="false">E7+E12</f>
        <v>-94334.2141145956</v>
      </c>
      <c r="F13" s="46" t="n">
        <f aca="false">F7+F12</f>
        <v>-87256.7143902219</v>
      </c>
      <c r="G13" s="46" t="n">
        <f aca="false">G7+G12</f>
        <v>-70231.66889149</v>
      </c>
      <c r="H13" s="46" t="n">
        <f aca="false">H7+H12</f>
        <v>-40684.0194137921</v>
      </c>
      <c r="I13" s="46" t="n">
        <f aca="false">I7+I12</f>
        <v>4035.37066052947</v>
      </c>
      <c r="J13" s="46" t="n">
        <f aca="false">J7+J12</f>
        <v>66507.643604354</v>
      </c>
      <c r="K13" s="46" t="n">
        <f aca="false">K7+K12</f>
        <v>149919.965053126</v>
      </c>
      <c r="L13" s="46" t="n">
        <f aca="false">L7+L12</f>
        <v>257737.02724267</v>
      </c>
      <c r="M13" s="46" t="n">
        <f aca="false">M7+M12</f>
        <v>392967.125449653</v>
      </c>
      <c r="N13" s="46" t="n">
        <f aca="false">N7+N12</f>
        <v>559151.098506127</v>
      </c>
      <c r="O13" s="35" t="n">
        <f aca="false">SUM(C13:N13)</f>
        <v>958675.524796252</v>
      </c>
    </row>
    <row r="14" customFormat="false" ht="15" hidden="false" customHeight="false" outlineLevel="0" collapsed="false">
      <c r="A14" s="6" t="s">
        <v>126</v>
      </c>
      <c r="C14" s="45" t="n">
        <f aca="false">IFERROR(C13/C5,0)</f>
        <v>-0.14</v>
      </c>
      <c r="D14" s="45" t="n">
        <f aca="false">IFERROR(D13/D5,0)</f>
        <v>-0.116363636363636</v>
      </c>
      <c r="E14" s="45" t="n">
        <f aca="false">IFERROR(E13/E5,0)</f>
        <v>-0.0927272727272727</v>
      </c>
      <c r="F14" s="45" t="n">
        <f aca="false">IFERROR(F13/F5,0)</f>
        <v>-0.0690909090909091</v>
      </c>
      <c r="G14" s="45" t="n">
        <f aca="false">IFERROR(G13/G5,0)</f>
        <v>-0.0454545454545454</v>
      </c>
      <c r="H14" s="45" t="n">
        <f aca="false">IFERROR(H13/H5,0)</f>
        <v>-0.0218181818181819</v>
      </c>
      <c r="I14" s="45" t="n">
        <f aca="false">IFERROR(I13/I5,0)</f>
        <v>0.00181818181818181</v>
      </c>
      <c r="J14" s="45" t="n">
        <f aca="false">IFERROR(J13/J5,0)</f>
        <v>0.0254545454545455</v>
      </c>
      <c r="K14" s="45" t="n">
        <f aca="false">IFERROR(K13/K5,0)</f>
        <v>0.0490909090909092</v>
      </c>
      <c r="L14" s="45" t="n">
        <f aca="false">IFERROR(L13/L5,0)</f>
        <v>0.0727272727272727</v>
      </c>
      <c r="M14" s="45" t="n">
        <f aca="false">IFERROR(M13/M5,0)</f>
        <v>0.0963636363636363</v>
      </c>
      <c r="N14" s="45" t="n">
        <f aca="false">IFERROR(N13/N5,0)</f>
        <v>0.12</v>
      </c>
      <c r="O14" s="45" t="n">
        <f aca="false">IFERROR(O13/O5,0)</f>
        <v>0.035151636534831</v>
      </c>
    </row>
    <row r="17" customFormat="false" ht="15" hidden="false" customHeight="false" outlineLevel="0" collapsed="false">
      <c r="A17" s="7" t="s">
        <v>127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15" hidden="false" customHeight="false" outlineLevel="0" collapsed="false">
      <c r="A18" s="11"/>
      <c r="B18" s="6" t="s">
        <v>75</v>
      </c>
      <c r="C18" s="10" t="s">
        <v>128</v>
      </c>
      <c r="D18" s="10" t="s">
        <v>129</v>
      </c>
      <c r="E18" s="10" t="s">
        <v>130</v>
      </c>
    </row>
    <row r="19" customFormat="false" ht="15" hidden="false" customHeight="false" outlineLevel="0" collapsed="false">
      <c r="A19" s="11" t="s">
        <v>117</v>
      </c>
      <c r="C19" s="41" t="n">
        <f aca="false">SUM(C5:F5)/1000</f>
        <v>3695.17396697032</v>
      </c>
      <c r="D19" s="41" t="n">
        <f aca="false">SUM(G5:J5)/1000</f>
        <v>8242.03508649289</v>
      </c>
      <c r="E19" s="41" t="n">
        <f aca="false">SUM(K5:N5)/1000</f>
        <v>15335.3625619812</v>
      </c>
    </row>
    <row r="20" customFormat="false" ht="15" hidden="false" customHeight="false" outlineLevel="0" collapsed="false">
      <c r="A20" s="11" t="s">
        <v>119</v>
      </c>
      <c r="C20" s="41" t="n">
        <f aca="false">SUM(C7:F7)/1000</f>
        <v>2882.23569423685</v>
      </c>
      <c r="D20" s="41" t="n">
        <f aca="false">SUM(G7:J7)/1000</f>
        <v>6428.78736746446</v>
      </c>
      <c r="E20" s="41" t="n">
        <f aca="false">SUM(K7:N7)/1000</f>
        <v>11961.5827983453</v>
      </c>
    </row>
    <row r="21" customFormat="false" ht="15" hidden="false" customHeight="false" outlineLevel="0" collapsed="false">
      <c r="A21" s="11" t="s">
        <v>125</v>
      </c>
      <c r="C21" s="41" t="n">
        <f aca="false">SUM(C13:F13)/1000</f>
        <v>-360.727017414925</v>
      </c>
      <c r="D21" s="41" t="n">
        <f aca="false">SUM(G13:J13)/1000</f>
        <v>-40.3726740403986</v>
      </c>
      <c r="E21" s="41" t="n">
        <f aca="false">SUM(K13:N13)/1000</f>
        <v>1359.77521625158</v>
      </c>
    </row>
    <row r="22" customFormat="false" ht="15" hidden="false" customHeight="false" outlineLevel="0" collapsed="false">
      <c r="A22" s="6" t="s">
        <v>31</v>
      </c>
      <c r="C22" s="36" t="n">
        <f aca="false">IFERROR(SUM(C7:F7)/SUM(C5:F5),0)</f>
        <v>0.78</v>
      </c>
      <c r="D22" s="36" t="n">
        <f aca="false">IFERROR(SUM(G7:J7)/SUM(G5:J5),0)</f>
        <v>0.78</v>
      </c>
      <c r="E22" s="36" t="n">
        <f aca="false">IFERROR(SUM(K7:N7)/SUM(K5:N5),0)</f>
        <v>0.78</v>
      </c>
    </row>
    <row r="23" customFormat="false" ht="15" hidden="false" customHeight="false" outlineLevel="0" collapsed="false">
      <c r="A23" s="6" t="s">
        <v>32</v>
      </c>
      <c r="C23" s="36" t="n">
        <f aca="false">IFERROR(SUM(C13:F13)/SUM(C5:F5),0)</f>
        <v>-0.097621118962008</v>
      </c>
      <c r="D23" s="36" t="n">
        <f aca="false">IFERROR(SUM(G13:J13)/SUM(G5:J5),0)</f>
        <v>-0.00489838657767444</v>
      </c>
      <c r="E23" s="36" t="n">
        <f aca="false">IFERROR(SUM(K13:N13)/SUM(K5:N5),0)</f>
        <v>0.0886692577860972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2026-04-29T17:29:10Z</dcterms:created>
  <dc:creator>openpyxl</dc:creator>
  <dc:description/>
  <dc:language>en-US</dc:language>
  <cp:lastModifiedBy/>
  <dcterms:modified xsi:type="dcterms:W3CDTF">2026-04-29T17:29:10Z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